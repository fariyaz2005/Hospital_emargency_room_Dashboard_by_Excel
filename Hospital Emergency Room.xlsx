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3001ba05a97f9ab1/Documents/"/>
    </mc:Choice>
  </mc:AlternateContent>
  <xr:revisionPtr revIDLastSave="1603" documentId="8_{41960E09-2466-4CE2-B763-F34DAD648D8C}" xr6:coauthVersionLast="47" xr6:coauthVersionMax="47" xr10:uidLastSave="{1B2AEA98-9CB1-46D4-A41F-2F81242C15B1}"/>
  <bookViews>
    <workbookView xWindow="-108" yWindow="-108" windowWidth="23256" windowHeight="12456" firstSheet="1" activeTab="1" xr2:uid="{3DE7DA21-5334-48C3-B764-E21B40DAB2A8}"/>
  </bookViews>
  <sheets>
    <sheet name="pivot report" sheetId="1" r:id="rId1"/>
    <sheet name="Dashboard" sheetId="3" r:id="rId2"/>
    <sheet name="daily ER pat" sheetId="4" r:id="rId3"/>
    <sheet name="AVG wait time" sheetId="5" r:id="rId4"/>
    <sheet name="Satisfaction score "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4ca5f27-b885-40d4-9fb0-4010484693ac" name="Hospital Emergency Room Data" connection="Query - Hospital Emergency Room Data"/>
          <x15:modelTable id="Calender_table_e8c08217-c142-4539-9de9-eecce2fbc6bf" name="Calender_table" connection="Query - Calender_table"/>
        </x15:modelTables>
        <x15:modelRelationships>
          <x15:modelRelationship fromTable="Hospital Emergency Room Data" fromColumn="patient_admission_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1" l="1"/>
  <c r="B49" i="1"/>
  <c r="C49"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E6F399-FF18-40EC-AEF2-9156031D038B}" name="Query - Calender_table" description="Connection to the 'Calender_table' query in the workbook." type="100" refreshedVersion="8" minRefreshableVersion="5">
    <extLst>
      <ext xmlns:x15="http://schemas.microsoft.com/office/spreadsheetml/2010/11/main" uri="{DE250136-89BD-433C-8126-D09CA5730AF9}">
        <x15:connection id="b53ee641-a947-4b6d-b103-ebe565a6955d"/>
      </ext>
    </extLst>
  </connection>
  <connection id="2" xr16:uid="{9A4BC140-7401-4EC5-8AF6-3214D8437E1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9ebdc69-c040-4af4-b5b9-951e1d040dd2"/>
      </ext>
    </extLst>
  </connection>
  <connection id="3" xr16:uid="{A7067ECA-A9BE-4316-B836-1E6D8BD7D93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<sst xmlns="http://schemas.openxmlformats.org/spreadsheetml/2006/main" count="151" uniqueCount="73">
  <si>
    <t>Distinct Count of Patient Id</t>
  </si>
  <si>
    <t>Average of Patient Waittime</t>
  </si>
  <si>
    <t>Average of Patient Satisfaction Score</t>
  </si>
  <si>
    <t>Grand Total</t>
  </si>
  <si>
    <t>Row Labels</t>
  </si>
  <si>
    <t>Number of Patient</t>
  </si>
  <si>
    <t>AVG wait time</t>
  </si>
  <si>
    <t>Satisfaction daily trend</t>
  </si>
  <si>
    <t>Count of Patient Admission Flag</t>
  </si>
  <si>
    <t>Admitted</t>
  </si>
  <si>
    <t>Not Admitted</t>
  </si>
  <si>
    <t>Count of Patient Admission Flag2</t>
  </si>
  <si>
    <t>Admission Status</t>
  </si>
  <si>
    <t>no. of patient</t>
  </si>
  <si>
    <t>%Status</t>
  </si>
  <si>
    <t>0-09</t>
  </si>
  <si>
    <t>10-19</t>
  </si>
  <si>
    <t>20-29</t>
  </si>
  <si>
    <t>30-39</t>
  </si>
  <si>
    <t>40-49</t>
  </si>
  <si>
    <t>50-59</t>
  </si>
  <si>
    <t>60-69</t>
  </si>
  <si>
    <t>70-79</t>
  </si>
  <si>
    <t>Count of Age_Group</t>
  </si>
  <si>
    <t>Age group wise analysis</t>
  </si>
  <si>
    <t>On-Time</t>
  </si>
  <si>
    <t>Delay</t>
  </si>
  <si>
    <t>Count of Patient Attend Status</t>
  </si>
  <si>
    <t>attended status</t>
  </si>
  <si>
    <t>Female</t>
  </si>
  <si>
    <t>Male</t>
  </si>
  <si>
    <t>Count of Patient Gender</t>
  </si>
  <si>
    <t>Gender wise analysis</t>
  </si>
  <si>
    <t>Count of Department Referral</t>
  </si>
  <si>
    <t>Cardiology</t>
  </si>
  <si>
    <t>Gastroenterology</t>
  </si>
  <si>
    <t>General Practice</t>
  </si>
  <si>
    <t>Neurology</t>
  </si>
  <si>
    <t>None</t>
  </si>
  <si>
    <t>Orthopedics</t>
  </si>
  <si>
    <t>Physiotherapy</t>
  </si>
  <si>
    <t>Renal</t>
  </si>
  <si>
    <t>2024</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</si>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</sst>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9"/>
      <color rgb="FF000000"/>
      <name val="Calibri"/>
      <family val="2"/>
      <scheme val="minor"/>
    </font>
    <font>
      <sz val="9"/>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0" fillId="3" borderId="0" xfId="0" applyFill="1" applyAlignment="1">
      <alignment horizontal="center"/>
    </xf>
    <xf numFmtId="0" fontId="0" fillId="0" borderId="0" xfId="0" applyAlignment="1">
      <alignment horizontal="center"/>
    </xf>
    <xf numFmtId="0" fontId="1" fillId="0" borderId="0" xfId="0" applyFont="1"/>
    <xf numFmtId="0" fontId="2" fillId="2" borderId="0" xfId="0" applyFont="1" applyFill="1"/>
  </cellXfs>
  <cellStyles count="1">
    <cellStyle name="Normal" xfId="0" builtinId="0"/>
  </cellStyles>
  <dxfs count="14">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1" formatCode="0"/>
    </dxf>
    <dxf>
      <numFmt numFmtId="2" formatCode="0.00"/>
    </dxf>
    <dxf>
      <font>
        <b/>
        <color theme="1"/>
      </font>
      <border>
        <bottom style="thin">
          <color theme="0" tint="-0.34998626667073579"/>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4007EF5D-41FD-403E-A737-CEAC9ADF4921}">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C79D9DF6-98F4-49E6-AE41-8F59A4C3760F}"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8.6685285029026483E-3"/>
          <c:y val="2.7763404574428198E-2"/>
          <c:w val="0.91087020812539277"/>
          <c:h val="0.96749343832021006"/>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F3D-47A0-BDDA-550CC10133C1}"/>
              </c:ext>
            </c:extLst>
          </c:dPt>
          <c:dLbls>
            <c:dLbl>
              <c:idx val="1"/>
              <c:tx>
                <c:rich>
                  <a:bodyPr/>
                  <a:lstStyle/>
                  <a:p>
                    <a:fld id="{C79D9DF6-98F4-49E6-AE41-8F59A4C3760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F3D-47A0-BDDA-550CC10133C1}"/>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report'!$A$41:$A$43</c:f>
              <c:strCache>
                <c:ptCount val="2"/>
                <c:pt idx="0">
                  <c:v>Admitted</c:v>
                </c:pt>
                <c:pt idx="1">
                  <c:v>Not Admitted</c:v>
                </c:pt>
              </c:strCache>
            </c:strRef>
          </c:cat>
          <c:val>
            <c:numRef>
              <c:f>'pivot report'!$B$41:$B$43</c:f>
              <c:numCache>
                <c:formatCode>0</c:formatCode>
                <c:ptCount val="2"/>
                <c:pt idx="0">
                  <c:v>236</c:v>
                </c:pt>
                <c:pt idx="1">
                  <c:v>230</c:v>
                </c:pt>
              </c:numCache>
            </c:numRef>
          </c:val>
          <c:extLst>
            <c:ext xmlns:c16="http://schemas.microsoft.com/office/drawing/2014/chart" uri="{C3380CC4-5D6E-409C-BE32-E72D297353CC}">
              <c16:uniqueId val="{00000005-8CE8-4108-88E6-71C18BB9C4AA}"/>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0.50643776824034337</c:v>
                </c:pt>
                <c:pt idx="1">
                  <c:v>0.49356223175965663</c:v>
                </c:pt>
              </c:numCache>
            </c:numRef>
          </c:val>
          <c:extLst>
            <c:ext xmlns:c16="http://schemas.microsoft.com/office/drawing/2014/chart" uri="{C3380CC4-5D6E-409C-BE32-E72D297353CC}">
              <c16:uniqueId val="{00000006-8CE8-4108-88E6-71C18BB9C4AA}"/>
            </c:ext>
          </c:extLst>
        </c:ser>
        <c:dLbls>
          <c:showLegendKey val="0"/>
          <c:showVal val="0"/>
          <c:showCatName val="0"/>
          <c:showSerName val="0"/>
          <c:showPercent val="0"/>
          <c:showBubbleSize val="0"/>
        </c:dLbls>
        <c:gapWidth val="63"/>
        <c:axId val="1157228128"/>
        <c:axId val="1157228608"/>
      </c:barChart>
      <c:catAx>
        <c:axId val="1157228128"/>
        <c:scaling>
          <c:orientation val="minMax"/>
        </c:scaling>
        <c:delete val="1"/>
        <c:axPos val="l"/>
        <c:numFmt formatCode="General" sourceLinked="1"/>
        <c:majorTickMark val="none"/>
        <c:minorTickMark val="none"/>
        <c:tickLblPos val="nextTo"/>
        <c:crossAx val="1157228608"/>
        <c:crosses val="autoZero"/>
        <c:auto val="1"/>
        <c:lblAlgn val="ctr"/>
        <c:lblOffset val="100"/>
        <c:noMultiLvlLbl val="0"/>
      </c:catAx>
      <c:valAx>
        <c:axId val="1157228608"/>
        <c:scaling>
          <c:orientation val="minMax"/>
        </c:scaling>
        <c:delete val="1"/>
        <c:axPos val="b"/>
        <c:numFmt formatCode="0" sourceLinked="1"/>
        <c:majorTickMark val="none"/>
        <c:minorTickMark val="none"/>
        <c:tickLblPos val="nextTo"/>
        <c:crossAx val="115722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302901414490269"/>
          <c:w val="1"/>
          <c:h val="0.77556194262071843"/>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report'!$E$6:$E$36</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2-16D6-49F1-81B4-3439D76E13A6}"/>
            </c:ext>
          </c:extLst>
        </c:ser>
        <c:dLbls>
          <c:showLegendKey val="0"/>
          <c:showVal val="0"/>
          <c:showCatName val="0"/>
          <c:showSerName val="0"/>
          <c:showPercent val="0"/>
          <c:showBubbleSize val="0"/>
        </c:dLbls>
        <c:axId val="1778876512"/>
        <c:axId val="1778876992"/>
      </c:areaChart>
      <c:catAx>
        <c:axId val="1778876512"/>
        <c:scaling>
          <c:orientation val="minMax"/>
        </c:scaling>
        <c:delete val="1"/>
        <c:axPos val="b"/>
        <c:numFmt formatCode="General" sourceLinked="1"/>
        <c:majorTickMark val="out"/>
        <c:minorTickMark val="none"/>
        <c:tickLblPos val="nextTo"/>
        <c:crossAx val="1778876992"/>
        <c:crosses val="autoZero"/>
        <c:auto val="1"/>
        <c:lblAlgn val="ctr"/>
        <c:lblOffset val="100"/>
        <c:noMultiLvlLbl val="0"/>
      </c:catAx>
      <c:valAx>
        <c:axId val="1778876992"/>
        <c:scaling>
          <c:orientation val="minMax"/>
        </c:scaling>
        <c:delete val="1"/>
        <c:axPos val="l"/>
        <c:numFmt formatCode="General" sourceLinked="1"/>
        <c:majorTickMark val="none"/>
        <c:minorTickMark val="none"/>
        <c:tickLblPos val="nextTo"/>
        <c:crossAx val="1778876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338726352638163"/>
          <c:w val="1"/>
          <c:h val="0.70091433465152009"/>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report'!$I$6:$I$36</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2-56FE-445E-ACF4-B049EBED8008}"/>
            </c:ext>
          </c:extLst>
        </c:ser>
        <c:dLbls>
          <c:showLegendKey val="0"/>
          <c:showVal val="0"/>
          <c:showCatName val="0"/>
          <c:showSerName val="0"/>
          <c:showPercent val="0"/>
          <c:showBubbleSize val="0"/>
        </c:dLbls>
        <c:axId val="925026431"/>
        <c:axId val="1237799087"/>
      </c:areaChart>
      <c:catAx>
        <c:axId val="925026431"/>
        <c:scaling>
          <c:orientation val="minMax"/>
        </c:scaling>
        <c:delete val="1"/>
        <c:axPos val="b"/>
        <c:numFmt formatCode="General" sourceLinked="1"/>
        <c:majorTickMark val="out"/>
        <c:minorTickMark val="none"/>
        <c:tickLblPos val="nextTo"/>
        <c:crossAx val="1237799087"/>
        <c:crosses val="autoZero"/>
        <c:auto val="1"/>
        <c:lblAlgn val="ctr"/>
        <c:lblOffset val="100"/>
        <c:noMultiLvlLbl val="0"/>
      </c:catAx>
      <c:valAx>
        <c:axId val="1237799087"/>
        <c:scaling>
          <c:orientation val="minMax"/>
        </c:scaling>
        <c:delete val="1"/>
        <c:axPos val="l"/>
        <c:numFmt formatCode="0.00" sourceLinked="1"/>
        <c:majorTickMark val="none"/>
        <c:minorTickMark val="none"/>
        <c:tickLblPos val="nextTo"/>
        <c:crossAx val="925026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18980208630737E-3"/>
          <c:y val="0.20664828642331665"/>
          <c:w val="0.99861781247274672"/>
          <c:h val="0.79335040513188615"/>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report'!$L$6:$L$35</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report'!$M$6:$M$35</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2-BE8F-4E05-8BD3-9C7119388907}"/>
            </c:ext>
          </c:extLst>
        </c:ser>
        <c:dLbls>
          <c:showLegendKey val="0"/>
          <c:showVal val="0"/>
          <c:showCatName val="0"/>
          <c:showSerName val="0"/>
          <c:showPercent val="0"/>
          <c:showBubbleSize val="0"/>
        </c:dLbls>
        <c:axId val="492693504"/>
        <c:axId val="492693984"/>
      </c:areaChart>
      <c:catAx>
        <c:axId val="492693504"/>
        <c:scaling>
          <c:orientation val="minMax"/>
        </c:scaling>
        <c:delete val="1"/>
        <c:axPos val="b"/>
        <c:numFmt formatCode="General" sourceLinked="1"/>
        <c:majorTickMark val="out"/>
        <c:minorTickMark val="none"/>
        <c:tickLblPos val="nextTo"/>
        <c:crossAx val="492693984"/>
        <c:crosses val="autoZero"/>
        <c:auto val="1"/>
        <c:lblAlgn val="ctr"/>
        <c:lblOffset val="100"/>
        <c:noMultiLvlLbl val="0"/>
      </c:catAx>
      <c:valAx>
        <c:axId val="492693984"/>
        <c:scaling>
          <c:orientation val="minMax"/>
        </c:scaling>
        <c:delete val="1"/>
        <c:axPos val="l"/>
        <c:numFmt formatCode="0.00" sourceLinked="1"/>
        <c:majorTickMark val="none"/>
        <c:minorTickMark val="none"/>
        <c:tickLblPos val="nextTo"/>
        <c:crossAx val="492693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6908985738919E-2"/>
          <c:y val="7.555549275790191E-2"/>
          <c:w val="0.90966182028522158"/>
          <c:h val="0.62035000933288809"/>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2-9454-46D2-A1ED-E3F703F7C314}"/>
            </c:ext>
          </c:extLst>
        </c:ser>
        <c:dLbls>
          <c:showLegendKey val="0"/>
          <c:showVal val="0"/>
          <c:showCatName val="0"/>
          <c:showSerName val="0"/>
          <c:showPercent val="0"/>
          <c:showBubbleSize val="0"/>
        </c:dLbls>
        <c:gapWidth val="219"/>
        <c:overlap val="-27"/>
        <c:axId val="1731584960"/>
        <c:axId val="1731576800"/>
      </c:barChart>
      <c:catAx>
        <c:axId val="17315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76800"/>
        <c:crosses val="autoZero"/>
        <c:auto val="1"/>
        <c:lblAlgn val="ctr"/>
        <c:lblOffset val="100"/>
        <c:noMultiLvlLbl val="0"/>
      </c:catAx>
      <c:valAx>
        <c:axId val="1731576800"/>
        <c:scaling>
          <c:orientation val="minMax"/>
        </c:scaling>
        <c:delete val="1"/>
        <c:axPos val="l"/>
        <c:numFmt formatCode="0" sourceLinked="1"/>
        <c:majorTickMark val="none"/>
        <c:minorTickMark val="none"/>
        <c:tickLblPos val="nextTo"/>
        <c:crossAx val="173158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393851481600004E-2"/>
          <c:y val="0.13315360659481867"/>
          <c:w val="0.76231361608539849"/>
          <c:h val="0.74270307572675132"/>
        </c:manualLayout>
      </c:layout>
      <c:pieChart>
        <c:varyColors val="1"/>
        <c:ser>
          <c:idx val="0"/>
          <c:order val="0"/>
          <c:tx>
            <c:strRef>
              <c:f>'pivot report'!$B$66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E9-4813-B3A0-83CDA5A103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E9-4813-B3A0-83CDA5A103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c:formatCode>
                <c:ptCount val="2"/>
                <c:pt idx="0">
                  <c:v>278</c:v>
                </c:pt>
                <c:pt idx="1">
                  <c:v>188</c:v>
                </c:pt>
              </c:numCache>
            </c:numRef>
          </c:val>
          <c:extLst>
            <c:ext xmlns:c16="http://schemas.microsoft.com/office/drawing/2014/chart" uri="{C3380CC4-5D6E-409C-BE32-E72D297353CC}">
              <c16:uniqueId val="{00000006-9355-4FF7-8F48-29A139EDBE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844319537710707"/>
          <c:y val="2.4417506778885593E-2"/>
          <c:w val="0.75339630127268209"/>
          <c:h val="8.41563774199935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report!PivotTable10</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236201498909022"/>
          <c:y val="0.22704867573371509"/>
          <c:w val="0.70988390091171871"/>
          <c:h val="0.72393722362490154"/>
        </c:manualLayout>
      </c:layout>
      <c:doughnutChart>
        <c:varyColors val="1"/>
        <c:ser>
          <c:idx val="0"/>
          <c:order val="0"/>
          <c:tx>
            <c:strRef>
              <c:f>'pivot report'!$B$72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B-41F5-B422-3CA8882E3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B-41F5-B422-3CA8882E3B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c:formatCode>
                <c:ptCount val="2"/>
                <c:pt idx="0">
                  <c:v>237</c:v>
                </c:pt>
                <c:pt idx="1">
                  <c:v>229</c:v>
                </c:pt>
              </c:numCache>
            </c:numRef>
          </c:val>
          <c:extLst>
            <c:ext xmlns:c16="http://schemas.microsoft.com/office/drawing/2014/chart" uri="{C3380CC4-5D6E-409C-BE32-E72D297353CC}">
              <c16:uniqueId val="{00000007-BE2B-4EBE-BC6D-58923BA84238}"/>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layout>
        <c:manualLayout>
          <c:xMode val="edge"/>
          <c:yMode val="edge"/>
          <c:x val="5.6187723306364401E-2"/>
          <c:y val="5.477897865786216E-2"/>
          <c:w val="0.85042710846429925"/>
          <c:h val="0.13809362765351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0215645086738"/>
          <c:y val="4.5204738310837746E-2"/>
          <c:w val="0.65831341240028451"/>
          <c:h val="0.81918104675664916"/>
        </c:manualLayout>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 report'!$B$79:$B$87</c:f>
              <c:numCache>
                <c:formatCode>0</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3-8359-4929-B5F6-198EB496A9DD}"/>
            </c:ext>
          </c:extLst>
        </c:ser>
        <c:dLbls>
          <c:showLegendKey val="0"/>
          <c:showVal val="0"/>
          <c:showCatName val="0"/>
          <c:showSerName val="0"/>
          <c:showPercent val="0"/>
          <c:showBubbleSize val="0"/>
        </c:dLbls>
        <c:gapWidth val="52"/>
        <c:axId val="383940336"/>
        <c:axId val="383945136"/>
      </c:barChart>
      <c:catAx>
        <c:axId val="38394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83945136"/>
        <c:crosses val="autoZero"/>
        <c:auto val="1"/>
        <c:lblAlgn val="ctr"/>
        <c:lblOffset val="100"/>
        <c:noMultiLvlLbl val="0"/>
      </c:catAx>
      <c:valAx>
        <c:axId val="383945136"/>
        <c:scaling>
          <c:orientation val="minMax"/>
        </c:scaling>
        <c:delete val="1"/>
        <c:axPos val="b"/>
        <c:numFmt formatCode="0" sourceLinked="1"/>
        <c:majorTickMark val="none"/>
        <c:minorTickMark val="none"/>
        <c:tickLblPos val="nextTo"/>
        <c:crossAx val="38394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report'!$E$6:$E$36</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1-9F7F-4231-8BC3-D7B236BB457D}"/>
            </c:ext>
          </c:extLst>
        </c:ser>
        <c:dLbls>
          <c:showLegendKey val="0"/>
          <c:showVal val="0"/>
          <c:showCatName val="0"/>
          <c:showSerName val="0"/>
          <c:showPercent val="0"/>
          <c:showBubbleSize val="0"/>
        </c:dLbls>
        <c:axId val="1878949376"/>
        <c:axId val="1878949856"/>
      </c:areaChart>
      <c:catAx>
        <c:axId val="18789493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949856"/>
        <c:crosses val="autoZero"/>
        <c:auto val="1"/>
        <c:lblAlgn val="ctr"/>
        <c:lblOffset val="100"/>
        <c:noMultiLvlLbl val="0"/>
      </c:catAx>
      <c:valAx>
        <c:axId val="1878949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949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report'!$H$6:$H$36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report'!$I$6:$I$36</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1-8457-47BE-81AD-990A12678602}"/>
            </c:ext>
          </c:extLst>
        </c:ser>
        <c:dLbls>
          <c:showLegendKey val="0"/>
          <c:showVal val="0"/>
          <c:showCatName val="0"/>
          <c:showSerName val="0"/>
          <c:showPercent val="0"/>
          <c:showBubbleSize val="0"/>
        </c:dLbls>
        <c:axId val="1911427295"/>
        <c:axId val="1911430175"/>
      </c:areaChart>
      <c:catAx>
        <c:axId val="19114272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430175"/>
        <c:crosses val="autoZero"/>
        <c:auto val="1"/>
        <c:lblAlgn val="ctr"/>
        <c:lblOffset val="100"/>
        <c:noMultiLvlLbl val="0"/>
      </c:catAx>
      <c:valAx>
        <c:axId val="19114301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427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report'!$L$6:$L$35</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report'!$M$6:$M$35</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1-B1A2-45E3-AA20-189C20061E3F}"/>
            </c:ext>
          </c:extLst>
        </c:ser>
        <c:dLbls>
          <c:showLegendKey val="0"/>
          <c:showVal val="0"/>
          <c:showCatName val="0"/>
          <c:showSerName val="0"/>
          <c:showPercent val="0"/>
          <c:showBubbleSize val="0"/>
        </c:dLbls>
        <c:axId val="1161320608"/>
        <c:axId val="1161309088"/>
      </c:areaChart>
      <c:catAx>
        <c:axId val="11613206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1309088"/>
        <c:crosses val="autoZero"/>
        <c:auto val="1"/>
        <c:lblAlgn val="ctr"/>
        <c:lblOffset val="100"/>
        <c:noMultiLvlLbl val="0"/>
      </c:catAx>
      <c:valAx>
        <c:axId val="11613090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13206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47</xdr:row>
      <xdr:rowOff>15240</xdr:rowOff>
    </xdr:from>
    <xdr:to>
      <xdr:col>3</xdr:col>
      <xdr:colOff>1249680</xdr:colOff>
      <xdr:row>48</xdr:row>
      <xdr:rowOff>175260</xdr:rowOff>
    </xdr:to>
    <xdr:graphicFrame macro="">
      <xdr:nvGraphicFramePr>
        <xdr:cNvPr id="6" name="Chart 5">
          <a:extLst>
            <a:ext uri="{FF2B5EF4-FFF2-40B4-BE49-F238E27FC236}">
              <a16:creationId xmlns:a16="http://schemas.microsoft.com/office/drawing/2014/main" id="{F84EECFB-E377-E28A-4008-5B6527C8E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60960</xdr:colOff>
      <xdr:row>0</xdr:row>
      <xdr:rowOff>74024</xdr:rowOff>
    </xdr:from>
    <xdr:to>
      <xdr:col>4</xdr:col>
      <xdr:colOff>461554</xdr:colOff>
      <xdr:row>2</xdr:row>
      <xdr:rowOff>161109</xdr:rowOff>
    </xdr:to>
    <xdr:sp macro="" textlink="">
      <xdr:nvSpPr>
        <xdr:cNvPr id="2" name="Rectangle: Rounded Corners 1">
          <a:extLst>
            <a:ext uri="{FF2B5EF4-FFF2-40B4-BE49-F238E27FC236}">
              <a16:creationId xmlns:a16="http://schemas.microsoft.com/office/drawing/2014/main" id="{DEF36C14-23D0-6745-F338-F7EE41C036E6}"/>
            </a:ext>
          </a:extLst>
        </xdr:cNvPr>
        <xdr:cNvSpPr/>
      </xdr:nvSpPr>
      <xdr:spPr>
        <a:xfrm>
          <a:off x="60960" y="74024"/>
          <a:ext cx="2838994" cy="45284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497542</xdr:colOff>
      <xdr:row>0</xdr:row>
      <xdr:rowOff>78377</xdr:rowOff>
    </xdr:from>
    <xdr:to>
      <xdr:col>6</xdr:col>
      <xdr:colOff>107576</xdr:colOff>
      <xdr:row>2</xdr:row>
      <xdr:rowOff>148046</xdr:rowOff>
    </xdr:to>
    <xdr:sp macro="" textlink="">
      <xdr:nvSpPr>
        <xdr:cNvPr id="4" name="Rectangle: Rounded Corners 3">
          <a:extLst>
            <a:ext uri="{FF2B5EF4-FFF2-40B4-BE49-F238E27FC236}">
              <a16:creationId xmlns:a16="http://schemas.microsoft.com/office/drawing/2014/main" id="{B81A2FA3-D48B-0B40-2658-69E431A2E382}"/>
            </a:ext>
          </a:extLst>
        </xdr:cNvPr>
        <xdr:cNvSpPr/>
      </xdr:nvSpPr>
      <xdr:spPr>
        <a:xfrm>
          <a:off x="2935942" y="78377"/>
          <a:ext cx="829234" cy="4372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143434</xdr:colOff>
      <xdr:row>0</xdr:row>
      <xdr:rowOff>78248</xdr:rowOff>
    </xdr:from>
    <xdr:to>
      <xdr:col>8</xdr:col>
      <xdr:colOff>273424</xdr:colOff>
      <xdr:row>8</xdr:row>
      <xdr:rowOff>22412</xdr:rowOff>
    </xdr:to>
    <xdr:sp macro="" textlink="">
      <xdr:nvSpPr>
        <xdr:cNvPr id="5" name="Rectangle: Rounded Corners 4">
          <a:extLst>
            <a:ext uri="{FF2B5EF4-FFF2-40B4-BE49-F238E27FC236}">
              <a16:creationId xmlns:a16="http://schemas.microsoft.com/office/drawing/2014/main" id="{A04C0892-A9C8-015C-326B-969BFBEA24C8}"/>
            </a:ext>
          </a:extLst>
        </xdr:cNvPr>
        <xdr:cNvSpPr/>
      </xdr:nvSpPr>
      <xdr:spPr>
        <a:xfrm>
          <a:off x="3794684" y="78248"/>
          <a:ext cx="1347073" cy="1425831"/>
        </a:xfrm>
        <a:prstGeom prst="roundRect">
          <a:avLst>
            <a:gd name="adj" fmla="val 740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339027</xdr:colOff>
      <xdr:row>0</xdr:row>
      <xdr:rowOff>84606</xdr:rowOff>
    </xdr:from>
    <xdr:to>
      <xdr:col>10</xdr:col>
      <xdr:colOff>478367</xdr:colOff>
      <xdr:row>8</xdr:row>
      <xdr:rowOff>32996</xdr:rowOff>
    </xdr:to>
    <xdr:sp macro="" textlink="">
      <xdr:nvSpPr>
        <xdr:cNvPr id="6" name="Rectangle: Rounded Corners 5">
          <a:extLst>
            <a:ext uri="{FF2B5EF4-FFF2-40B4-BE49-F238E27FC236}">
              <a16:creationId xmlns:a16="http://schemas.microsoft.com/office/drawing/2014/main" id="{A27C3949-89E1-C7EA-0B11-03E491FF90AB}"/>
            </a:ext>
          </a:extLst>
        </xdr:cNvPr>
        <xdr:cNvSpPr/>
      </xdr:nvSpPr>
      <xdr:spPr>
        <a:xfrm>
          <a:off x="5207360" y="84606"/>
          <a:ext cx="1356424" cy="1430057"/>
        </a:xfrm>
        <a:prstGeom prst="roundRect">
          <a:avLst>
            <a:gd name="adj" fmla="val 740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60959</xdr:colOff>
      <xdr:row>3</xdr:row>
      <xdr:rowOff>30480</xdr:rowOff>
    </xdr:from>
    <xdr:to>
      <xdr:col>0</xdr:col>
      <xdr:colOff>591671</xdr:colOff>
      <xdr:row>15</xdr:row>
      <xdr:rowOff>62753</xdr:rowOff>
    </xdr:to>
    <xdr:sp macro="" textlink="">
      <xdr:nvSpPr>
        <xdr:cNvPr id="9" name="Rectangle: Rounded Corners 8">
          <a:extLst>
            <a:ext uri="{FF2B5EF4-FFF2-40B4-BE49-F238E27FC236}">
              <a16:creationId xmlns:a16="http://schemas.microsoft.com/office/drawing/2014/main" id="{3321B2B6-F21E-FC49-7ED8-7D81DEBCEED1}"/>
            </a:ext>
          </a:extLst>
        </xdr:cNvPr>
        <xdr:cNvSpPr/>
      </xdr:nvSpPr>
      <xdr:spPr>
        <a:xfrm>
          <a:off x="60959" y="581809"/>
          <a:ext cx="530712" cy="2237591"/>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13062</xdr:colOff>
      <xdr:row>3</xdr:row>
      <xdr:rowOff>17930</xdr:rowOff>
    </xdr:from>
    <xdr:to>
      <xdr:col>2</xdr:col>
      <xdr:colOff>385496</xdr:colOff>
      <xdr:row>5</xdr:row>
      <xdr:rowOff>179294</xdr:rowOff>
    </xdr:to>
    <xdr:sp macro="" textlink="">
      <xdr:nvSpPr>
        <xdr:cNvPr id="10" name="Rectangle: Rounded Corners 9">
          <a:extLst>
            <a:ext uri="{FF2B5EF4-FFF2-40B4-BE49-F238E27FC236}">
              <a16:creationId xmlns:a16="http://schemas.microsoft.com/office/drawing/2014/main" id="{5F781D17-D8A4-F4F7-45EC-3409402817FE}"/>
            </a:ext>
          </a:extLst>
        </xdr:cNvPr>
        <xdr:cNvSpPr/>
      </xdr:nvSpPr>
      <xdr:spPr>
        <a:xfrm>
          <a:off x="622662" y="569259"/>
          <a:ext cx="982034" cy="528917"/>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466892</xdr:colOff>
      <xdr:row>3</xdr:row>
      <xdr:rowOff>22413</xdr:rowOff>
    </xdr:from>
    <xdr:to>
      <xdr:col>4</xdr:col>
      <xdr:colOff>229726</xdr:colOff>
      <xdr:row>6</xdr:row>
      <xdr:rowOff>1</xdr:rowOff>
    </xdr:to>
    <xdr:sp macro="" textlink="">
      <xdr:nvSpPr>
        <xdr:cNvPr id="14" name="Rectangle: Rounded Corners 13">
          <a:extLst>
            <a:ext uri="{FF2B5EF4-FFF2-40B4-BE49-F238E27FC236}">
              <a16:creationId xmlns:a16="http://schemas.microsoft.com/office/drawing/2014/main" id="{2A4EFE23-2903-454F-1647-748ECA9A29D5}"/>
            </a:ext>
          </a:extLst>
        </xdr:cNvPr>
        <xdr:cNvSpPr/>
      </xdr:nvSpPr>
      <xdr:spPr>
        <a:xfrm>
          <a:off x="1686092" y="573742"/>
          <a:ext cx="982034" cy="528918"/>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319897</xdr:colOff>
      <xdr:row>3</xdr:row>
      <xdr:rowOff>17930</xdr:rowOff>
    </xdr:from>
    <xdr:to>
      <xdr:col>6</xdr:col>
      <xdr:colOff>82731</xdr:colOff>
      <xdr:row>5</xdr:row>
      <xdr:rowOff>179294</xdr:rowOff>
    </xdr:to>
    <xdr:sp macro="" textlink="">
      <xdr:nvSpPr>
        <xdr:cNvPr id="15" name="Rectangle: Rounded Corners 14">
          <a:extLst>
            <a:ext uri="{FF2B5EF4-FFF2-40B4-BE49-F238E27FC236}">
              <a16:creationId xmlns:a16="http://schemas.microsoft.com/office/drawing/2014/main" id="{C054E76C-30B8-F6B0-29C0-177A3C9ADFCD}"/>
            </a:ext>
          </a:extLst>
        </xdr:cNvPr>
        <xdr:cNvSpPr/>
      </xdr:nvSpPr>
      <xdr:spPr>
        <a:xfrm>
          <a:off x="2758297" y="569259"/>
          <a:ext cx="982034" cy="528917"/>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13447</xdr:colOff>
      <xdr:row>8</xdr:row>
      <xdr:rowOff>94129</xdr:rowOff>
    </xdr:from>
    <xdr:to>
      <xdr:col>6</xdr:col>
      <xdr:colOff>109753</xdr:colOff>
      <xdr:row>15</xdr:row>
      <xdr:rowOff>174812</xdr:rowOff>
    </xdr:to>
    <xdr:sp macro="" textlink="">
      <xdr:nvSpPr>
        <xdr:cNvPr id="18" name="Rectangle: Rounded Corners 17">
          <a:extLst>
            <a:ext uri="{FF2B5EF4-FFF2-40B4-BE49-F238E27FC236}">
              <a16:creationId xmlns:a16="http://schemas.microsoft.com/office/drawing/2014/main" id="{AD765F0F-20C4-1F26-A779-6D2148B124C3}"/>
            </a:ext>
          </a:extLst>
        </xdr:cNvPr>
        <xdr:cNvSpPr/>
      </xdr:nvSpPr>
      <xdr:spPr>
        <a:xfrm>
          <a:off x="623047" y="1564341"/>
          <a:ext cx="3144306" cy="1367118"/>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13447</xdr:colOff>
      <xdr:row>6</xdr:row>
      <xdr:rowOff>26126</xdr:rowOff>
    </xdr:from>
    <xdr:to>
      <xdr:col>6</xdr:col>
      <xdr:colOff>98997</xdr:colOff>
      <xdr:row>8</xdr:row>
      <xdr:rowOff>71717</xdr:rowOff>
    </xdr:to>
    <xdr:sp macro="" textlink="">
      <xdr:nvSpPr>
        <xdr:cNvPr id="19" name="Rectangle: Rounded Corners 18">
          <a:extLst>
            <a:ext uri="{FF2B5EF4-FFF2-40B4-BE49-F238E27FC236}">
              <a16:creationId xmlns:a16="http://schemas.microsoft.com/office/drawing/2014/main" id="{B5E522CD-62DD-5CFC-32E1-29D772349EB8}"/>
            </a:ext>
          </a:extLst>
        </xdr:cNvPr>
        <xdr:cNvSpPr/>
      </xdr:nvSpPr>
      <xdr:spPr>
        <a:xfrm>
          <a:off x="623047" y="1128785"/>
          <a:ext cx="3133550" cy="413144"/>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148046</xdr:colOff>
      <xdr:row>8</xdr:row>
      <xdr:rowOff>67235</xdr:rowOff>
    </xdr:from>
    <xdr:to>
      <xdr:col>10</xdr:col>
      <xdr:colOff>484094</xdr:colOff>
      <xdr:row>16</xdr:row>
      <xdr:rowOff>0</xdr:rowOff>
    </xdr:to>
    <xdr:sp macro="" textlink="">
      <xdr:nvSpPr>
        <xdr:cNvPr id="3" name="Rectangle: Rounded Corners 2">
          <a:extLst>
            <a:ext uri="{FF2B5EF4-FFF2-40B4-BE49-F238E27FC236}">
              <a16:creationId xmlns:a16="http://schemas.microsoft.com/office/drawing/2014/main" id="{AF61A05B-63F7-D9FA-BE52-742ABD90DF2C}"/>
            </a:ext>
          </a:extLst>
        </xdr:cNvPr>
        <xdr:cNvSpPr/>
      </xdr:nvSpPr>
      <xdr:spPr>
        <a:xfrm>
          <a:off x="3805646" y="1537447"/>
          <a:ext cx="2774448" cy="1402977"/>
        </a:xfrm>
        <a:prstGeom prst="roundRect">
          <a:avLst>
            <a:gd name="adj" fmla="val 740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170330</xdr:colOff>
      <xdr:row>0</xdr:row>
      <xdr:rowOff>103607</xdr:rowOff>
    </xdr:from>
    <xdr:to>
      <xdr:col>4</xdr:col>
      <xdr:colOff>407895</xdr:colOff>
      <xdr:row>1</xdr:row>
      <xdr:rowOff>116543</xdr:rowOff>
    </xdr:to>
    <xdr:sp macro="" textlink="">
      <xdr:nvSpPr>
        <xdr:cNvPr id="7" name="TextBox 6">
          <a:extLst>
            <a:ext uri="{FF2B5EF4-FFF2-40B4-BE49-F238E27FC236}">
              <a16:creationId xmlns:a16="http://schemas.microsoft.com/office/drawing/2014/main" id="{91ED6390-1D30-3ED6-1507-B09D42C0291F}"/>
            </a:ext>
          </a:extLst>
        </xdr:cNvPr>
        <xdr:cNvSpPr txBox="1"/>
      </xdr:nvSpPr>
      <xdr:spPr>
        <a:xfrm>
          <a:off x="779930" y="103607"/>
          <a:ext cx="2066365" cy="196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HOSPITAL EMERGENCY ROOM DASHBOARD</a:t>
          </a:r>
        </a:p>
      </xdr:txBody>
    </xdr:sp>
    <xdr:clientData/>
  </xdr:twoCellAnchor>
  <xdr:twoCellAnchor editAs="oneCell">
    <xdr:from>
      <xdr:col>0</xdr:col>
      <xdr:colOff>31376</xdr:colOff>
      <xdr:row>0</xdr:row>
      <xdr:rowOff>60315</xdr:rowOff>
    </xdr:from>
    <xdr:to>
      <xdr:col>0</xdr:col>
      <xdr:colOff>569260</xdr:colOff>
      <xdr:row>2</xdr:row>
      <xdr:rowOff>165848</xdr:rowOff>
    </xdr:to>
    <xdr:pic>
      <xdr:nvPicPr>
        <xdr:cNvPr id="11" name="Picture 10">
          <a:extLst>
            <a:ext uri="{FF2B5EF4-FFF2-40B4-BE49-F238E27FC236}">
              <a16:creationId xmlns:a16="http://schemas.microsoft.com/office/drawing/2014/main" id="{7299FDE8-4676-66D7-9B25-F97EF5CB83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697" t="3790" r="22260" b="-3790"/>
        <a:stretch>
          <a:fillRect/>
        </a:stretch>
      </xdr:blipFill>
      <xdr:spPr>
        <a:xfrm>
          <a:off x="31376" y="60315"/>
          <a:ext cx="537884" cy="473086"/>
        </a:xfrm>
        <a:prstGeom prst="rect">
          <a:avLst/>
        </a:prstGeom>
      </xdr:spPr>
    </xdr:pic>
    <xdr:clientData/>
  </xdr:twoCellAnchor>
  <xdr:twoCellAnchor editAs="absolute">
    <xdr:from>
      <xdr:col>1</xdr:col>
      <xdr:colOff>587188</xdr:colOff>
      <xdr:row>1</xdr:row>
      <xdr:rowOff>112059</xdr:rowOff>
    </xdr:from>
    <xdr:to>
      <xdr:col>3</xdr:col>
      <xdr:colOff>268942</xdr:colOff>
      <xdr:row>2</xdr:row>
      <xdr:rowOff>85165</xdr:rowOff>
    </xdr:to>
    <xdr:sp macro="" textlink="">
      <xdr:nvSpPr>
        <xdr:cNvPr id="12" name="TextBox 11">
          <a:extLst>
            <a:ext uri="{FF2B5EF4-FFF2-40B4-BE49-F238E27FC236}">
              <a16:creationId xmlns:a16="http://schemas.microsoft.com/office/drawing/2014/main" id="{D8D88E78-D7D5-06D5-1365-3B2F258F044D}"/>
            </a:ext>
          </a:extLst>
        </xdr:cNvPr>
        <xdr:cNvSpPr txBox="1"/>
      </xdr:nvSpPr>
      <xdr:spPr>
        <a:xfrm>
          <a:off x="1196788" y="295835"/>
          <a:ext cx="900954" cy="15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a:t>
          </a:r>
          <a:r>
            <a:rPr lang="en-IN" sz="900" baseline="0"/>
            <a:t> REPORT</a:t>
          </a:r>
          <a:endParaRPr lang="en-IN" sz="900"/>
        </a:p>
      </xdr:txBody>
    </xdr:sp>
    <xdr:clientData/>
  </xdr:twoCellAnchor>
  <xdr:twoCellAnchor editAs="absolute">
    <xdr:from>
      <xdr:col>1</xdr:col>
      <xdr:colOff>13447</xdr:colOff>
      <xdr:row>4</xdr:row>
      <xdr:rowOff>8966</xdr:rowOff>
    </xdr:from>
    <xdr:to>
      <xdr:col>2</xdr:col>
      <xdr:colOff>381000</xdr:colOff>
      <xdr:row>4</xdr:row>
      <xdr:rowOff>147918</xdr:rowOff>
    </xdr:to>
    <xdr:sp macro="" textlink="">
      <xdr:nvSpPr>
        <xdr:cNvPr id="44" name="TextBox 43">
          <a:extLst>
            <a:ext uri="{FF2B5EF4-FFF2-40B4-BE49-F238E27FC236}">
              <a16:creationId xmlns:a16="http://schemas.microsoft.com/office/drawing/2014/main" id="{DBC6CB6C-8971-1B61-EDC9-E0379A722F2C}"/>
            </a:ext>
          </a:extLst>
        </xdr:cNvPr>
        <xdr:cNvSpPr txBox="1"/>
      </xdr:nvSpPr>
      <xdr:spPr>
        <a:xfrm>
          <a:off x="623047" y="744072"/>
          <a:ext cx="977153" cy="13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NO.</a:t>
          </a:r>
          <a:r>
            <a:rPr lang="en-IN" sz="900" baseline="0"/>
            <a:t> of Patient</a:t>
          </a:r>
          <a:endParaRPr lang="en-IN" sz="900"/>
        </a:p>
      </xdr:txBody>
    </xdr:sp>
    <xdr:clientData/>
  </xdr:twoCellAnchor>
  <xdr:twoCellAnchor editAs="absolute">
    <xdr:from>
      <xdr:col>2</xdr:col>
      <xdr:colOff>466165</xdr:colOff>
      <xdr:row>3</xdr:row>
      <xdr:rowOff>170331</xdr:rowOff>
    </xdr:from>
    <xdr:to>
      <xdr:col>4</xdr:col>
      <xdr:colOff>228600</xdr:colOff>
      <xdr:row>4</xdr:row>
      <xdr:rowOff>121024</xdr:rowOff>
    </xdr:to>
    <xdr:sp macro="" textlink="">
      <xdr:nvSpPr>
        <xdr:cNvPr id="47" name="TextBox 46">
          <a:extLst>
            <a:ext uri="{FF2B5EF4-FFF2-40B4-BE49-F238E27FC236}">
              <a16:creationId xmlns:a16="http://schemas.microsoft.com/office/drawing/2014/main" id="{43FAD29F-22BD-8FFC-BE2A-80FD1532E394}"/>
            </a:ext>
          </a:extLst>
        </xdr:cNvPr>
        <xdr:cNvSpPr txBox="1"/>
      </xdr:nvSpPr>
      <xdr:spPr>
        <a:xfrm>
          <a:off x="1685365" y="721660"/>
          <a:ext cx="981635" cy="134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AVG.</a:t>
          </a:r>
          <a:r>
            <a:rPr lang="en-IN" sz="900" baseline="0"/>
            <a:t> Wait Time</a:t>
          </a:r>
          <a:endParaRPr lang="en-IN" sz="900"/>
        </a:p>
      </xdr:txBody>
    </xdr:sp>
    <xdr:clientData/>
  </xdr:twoCellAnchor>
  <xdr:twoCellAnchor editAs="absolute">
    <xdr:from>
      <xdr:col>4</xdr:col>
      <xdr:colOff>322729</xdr:colOff>
      <xdr:row>3</xdr:row>
      <xdr:rowOff>152400</xdr:rowOff>
    </xdr:from>
    <xdr:to>
      <xdr:col>6</xdr:col>
      <xdr:colOff>76200</xdr:colOff>
      <xdr:row>4</xdr:row>
      <xdr:rowOff>107576</xdr:rowOff>
    </xdr:to>
    <xdr:sp macro="" textlink="">
      <xdr:nvSpPr>
        <xdr:cNvPr id="48" name="TextBox 47">
          <a:extLst>
            <a:ext uri="{FF2B5EF4-FFF2-40B4-BE49-F238E27FC236}">
              <a16:creationId xmlns:a16="http://schemas.microsoft.com/office/drawing/2014/main" id="{04C93C6C-DFAA-B209-5198-FD7F7DBE26D9}"/>
            </a:ext>
          </a:extLst>
        </xdr:cNvPr>
        <xdr:cNvSpPr txBox="1"/>
      </xdr:nvSpPr>
      <xdr:spPr>
        <a:xfrm>
          <a:off x="2761129" y="703729"/>
          <a:ext cx="972671" cy="138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Patient</a:t>
          </a:r>
          <a:r>
            <a:rPr lang="en-IN" sz="900" baseline="0"/>
            <a:t> satis. score</a:t>
          </a:r>
          <a:endParaRPr lang="en-IN" sz="900"/>
        </a:p>
      </xdr:txBody>
    </xdr:sp>
    <xdr:clientData/>
  </xdr:twoCellAnchor>
  <xdr:twoCellAnchor editAs="oneCell">
    <xdr:from>
      <xdr:col>5</xdr:col>
      <xdr:colOff>407894</xdr:colOff>
      <xdr:row>3</xdr:row>
      <xdr:rowOff>17931</xdr:rowOff>
    </xdr:from>
    <xdr:to>
      <xdr:col>6</xdr:col>
      <xdr:colOff>67234</xdr:colOff>
      <xdr:row>3</xdr:row>
      <xdr:rowOff>152401</xdr:rowOff>
    </xdr:to>
    <xdr:pic>
      <xdr:nvPicPr>
        <xdr:cNvPr id="50" name="Graphic 49" descr="Customer review with solid fill">
          <a:extLst>
            <a:ext uri="{FF2B5EF4-FFF2-40B4-BE49-F238E27FC236}">
              <a16:creationId xmlns:a16="http://schemas.microsoft.com/office/drawing/2014/main" id="{DDB22E30-F30E-5717-2811-8A527893A5E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55894" y="569260"/>
          <a:ext cx="268940" cy="134470"/>
        </a:xfrm>
        <a:prstGeom prst="rect">
          <a:avLst/>
        </a:prstGeom>
      </xdr:spPr>
    </xdr:pic>
    <xdr:clientData/>
  </xdr:twoCellAnchor>
  <xdr:twoCellAnchor editAs="oneCell">
    <xdr:from>
      <xdr:col>3</xdr:col>
      <xdr:colOff>587188</xdr:colOff>
      <xdr:row>3</xdr:row>
      <xdr:rowOff>24498</xdr:rowOff>
    </xdr:from>
    <xdr:to>
      <xdr:col>4</xdr:col>
      <xdr:colOff>199259</xdr:colOff>
      <xdr:row>3</xdr:row>
      <xdr:rowOff>165848</xdr:rowOff>
    </xdr:to>
    <xdr:pic>
      <xdr:nvPicPr>
        <xdr:cNvPr id="52" name="Graphic 51" descr="Clock with solid fill">
          <a:extLst>
            <a:ext uri="{FF2B5EF4-FFF2-40B4-BE49-F238E27FC236}">
              <a16:creationId xmlns:a16="http://schemas.microsoft.com/office/drawing/2014/main" id="{38640D08-8CE4-2214-6102-E8C99EFABB4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15988" y="575827"/>
          <a:ext cx="221671" cy="141350"/>
        </a:xfrm>
        <a:prstGeom prst="rect">
          <a:avLst/>
        </a:prstGeom>
      </xdr:spPr>
    </xdr:pic>
    <xdr:clientData/>
  </xdr:twoCellAnchor>
  <xdr:twoCellAnchor editAs="oneCell">
    <xdr:from>
      <xdr:col>2</xdr:col>
      <xdr:colOff>197222</xdr:colOff>
      <xdr:row>3</xdr:row>
      <xdr:rowOff>17931</xdr:rowOff>
    </xdr:from>
    <xdr:to>
      <xdr:col>2</xdr:col>
      <xdr:colOff>395942</xdr:colOff>
      <xdr:row>4</xdr:row>
      <xdr:rowOff>4484</xdr:rowOff>
    </xdr:to>
    <xdr:pic>
      <xdr:nvPicPr>
        <xdr:cNvPr id="54" name="Graphic 53" descr="User with solid fill">
          <a:extLst>
            <a:ext uri="{FF2B5EF4-FFF2-40B4-BE49-F238E27FC236}">
              <a16:creationId xmlns:a16="http://schemas.microsoft.com/office/drawing/2014/main" id="{6A61790A-7E49-0D06-05CA-B3C71DAA254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16422" y="569260"/>
          <a:ext cx="198720" cy="170330"/>
        </a:xfrm>
        <a:prstGeom prst="rect">
          <a:avLst/>
        </a:prstGeom>
      </xdr:spPr>
    </xdr:pic>
    <xdr:clientData/>
  </xdr:twoCellAnchor>
  <xdr:twoCellAnchor editAs="oneCell">
    <xdr:from>
      <xdr:col>0</xdr:col>
      <xdr:colOff>62753</xdr:colOff>
      <xdr:row>3</xdr:row>
      <xdr:rowOff>31376</xdr:rowOff>
    </xdr:from>
    <xdr:to>
      <xdr:col>0</xdr:col>
      <xdr:colOff>596153</xdr:colOff>
      <xdr:row>15</xdr:row>
      <xdr:rowOff>156881</xdr:rowOff>
    </xdr:to>
    <mc:AlternateContent xmlns:mc="http://schemas.openxmlformats.org/markup-compatibility/2006" xmlns:a14="http://schemas.microsoft.com/office/drawing/2010/main">
      <mc:Choice Requires="a14">
        <xdr:graphicFrame macro="">
          <xdr:nvGraphicFramePr>
            <xdr:cNvPr id="8" name="Date (Month)">
              <a:extLst>
                <a:ext uri="{FF2B5EF4-FFF2-40B4-BE49-F238E27FC236}">
                  <a16:creationId xmlns:a16="http://schemas.microsoft.com/office/drawing/2014/main" id="{5B543E8D-BFB5-4953-B046-8A500D4D846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2753" y="582706"/>
              <a:ext cx="533400" cy="2232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31375</xdr:colOff>
      <xdr:row>3</xdr:row>
      <xdr:rowOff>26895</xdr:rowOff>
    </xdr:from>
    <xdr:to>
      <xdr:col>2</xdr:col>
      <xdr:colOff>358588</xdr:colOff>
      <xdr:row>4</xdr:row>
      <xdr:rowOff>4482</xdr:rowOff>
    </xdr:to>
    <xdr:sp macro="" textlink="'pivot report'!A6">
      <xdr:nvSpPr>
        <xdr:cNvPr id="16" name="TextBox 15">
          <a:extLst>
            <a:ext uri="{FF2B5EF4-FFF2-40B4-BE49-F238E27FC236}">
              <a16:creationId xmlns:a16="http://schemas.microsoft.com/office/drawing/2014/main" id="{A20DEF08-31F3-1BAF-00E3-D4DA1EA180ED}"/>
            </a:ext>
          </a:extLst>
        </xdr:cNvPr>
        <xdr:cNvSpPr txBox="1"/>
      </xdr:nvSpPr>
      <xdr:spPr>
        <a:xfrm>
          <a:off x="640975" y="578224"/>
          <a:ext cx="936813" cy="16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5709BA01-30C4-4373-B292-0B9057E6D6E8}" type="TxLink">
            <a:rPr lang="en-US" sz="1100" b="0" i="0" u="none" strike="noStrike">
              <a:solidFill>
                <a:srgbClr val="000000"/>
              </a:solidFill>
              <a:latin typeface="Calibri"/>
              <a:ea typeface="Calibri"/>
              <a:cs typeface="Calibri"/>
            </a:rPr>
            <a:pPr/>
            <a:t>513</a:t>
          </a:fld>
          <a:endParaRPr lang="en-IN" sz="900"/>
        </a:p>
      </xdr:txBody>
    </xdr:sp>
    <xdr:clientData/>
  </xdr:twoCellAnchor>
  <xdr:twoCellAnchor editAs="absolute">
    <xdr:from>
      <xdr:col>2</xdr:col>
      <xdr:colOff>515470</xdr:colOff>
      <xdr:row>3</xdr:row>
      <xdr:rowOff>17929</xdr:rowOff>
    </xdr:from>
    <xdr:to>
      <xdr:col>4</xdr:col>
      <xdr:colOff>197224</xdr:colOff>
      <xdr:row>3</xdr:row>
      <xdr:rowOff>174812</xdr:rowOff>
    </xdr:to>
    <xdr:sp macro="" textlink="'pivot report'!A12">
      <xdr:nvSpPr>
        <xdr:cNvPr id="17" name="TextBox 16">
          <a:extLst>
            <a:ext uri="{FF2B5EF4-FFF2-40B4-BE49-F238E27FC236}">
              <a16:creationId xmlns:a16="http://schemas.microsoft.com/office/drawing/2014/main" id="{96F627C5-EED0-798B-17C7-8414550DFA5D}"/>
            </a:ext>
          </a:extLst>
        </xdr:cNvPr>
        <xdr:cNvSpPr txBox="1"/>
      </xdr:nvSpPr>
      <xdr:spPr>
        <a:xfrm>
          <a:off x="1734670" y="569258"/>
          <a:ext cx="900954" cy="15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102704C9-63D0-439B-8594-E9841D563D40}" type="TxLink">
            <a:rPr lang="en-US" sz="1100" b="0" i="0" u="none" strike="noStrike">
              <a:solidFill>
                <a:srgbClr val="000000"/>
              </a:solidFill>
              <a:latin typeface="Calibri"/>
              <a:ea typeface="Calibri"/>
              <a:cs typeface="Calibri"/>
            </a:rPr>
            <a:pPr/>
            <a:t>36.32</a:t>
          </a:fld>
          <a:endParaRPr lang="en-IN" sz="900"/>
        </a:p>
      </xdr:txBody>
    </xdr:sp>
    <xdr:clientData/>
  </xdr:twoCellAnchor>
  <xdr:twoCellAnchor editAs="absolute">
    <xdr:from>
      <xdr:col>4</xdr:col>
      <xdr:colOff>354106</xdr:colOff>
      <xdr:row>2</xdr:row>
      <xdr:rowOff>174809</xdr:rowOff>
    </xdr:from>
    <xdr:to>
      <xdr:col>6</xdr:col>
      <xdr:colOff>35860</xdr:colOff>
      <xdr:row>3</xdr:row>
      <xdr:rowOff>147916</xdr:rowOff>
    </xdr:to>
    <xdr:sp macro="" textlink="'pivot report'!A16">
      <xdr:nvSpPr>
        <xdr:cNvPr id="20" name="TextBox 19">
          <a:extLst>
            <a:ext uri="{FF2B5EF4-FFF2-40B4-BE49-F238E27FC236}">
              <a16:creationId xmlns:a16="http://schemas.microsoft.com/office/drawing/2014/main" id="{D0DBC143-D229-979A-06D5-A484A19EA502}"/>
            </a:ext>
          </a:extLst>
        </xdr:cNvPr>
        <xdr:cNvSpPr txBox="1"/>
      </xdr:nvSpPr>
      <xdr:spPr>
        <a:xfrm>
          <a:off x="2792506" y="542362"/>
          <a:ext cx="900954" cy="15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3B11245C-E327-425F-BFCC-797113ADF84F}" type="TxLink">
            <a:rPr lang="en-US" sz="1100" b="0" i="0" u="none" strike="noStrike">
              <a:solidFill>
                <a:srgbClr val="000000"/>
              </a:solidFill>
              <a:latin typeface="Calibri"/>
              <a:ea typeface="Calibri"/>
              <a:cs typeface="Calibri"/>
            </a:rPr>
            <a:pPr/>
            <a:t>4.96</a:t>
          </a:fld>
          <a:endParaRPr lang="en-IN" sz="900"/>
        </a:p>
      </xdr:txBody>
    </xdr:sp>
    <xdr:clientData/>
  </xdr:twoCellAnchor>
  <xdr:twoCellAnchor>
    <xdr:from>
      <xdr:col>1</xdr:col>
      <xdr:colOff>13448</xdr:colOff>
      <xdr:row>4</xdr:row>
      <xdr:rowOff>31376</xdr:rowOff>
    </xdr:from>
    <xdr:to>
      <xdr:col>2</xdr:col>
      <xdr:colOff>389964</xdr:colOff>
      <xdr:row>6</xdr:row>
      <xdr:rowOff>8965</xdr:rowOff>
    </xdr:to>
    <xdr:graphicFrame macro="">
      <xdr:nvGraphicFramePr>
        <xdr:cNvPr id="13" name="Chart 12">
          <a:hlinkClick xmlns:r="http://schemas.openxmlformats.org/officeDocument/2006/relationships" r:id="rId8"/>
          <a:extLst>
            <a:ext uri="{FF2B5EF4-FFF2-40B4-BE49-F238E27FC236}">
              <a16:creationId xmlns:a16="http://schemas.microsoft.com/office/drawing/2014/main" id="{CF58E1EE-77E6-4AF7-87DC-1356FCE6D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461682</xdr:colOff>
      <xdr:row>4</xdr:row>
      <xdr:rowOff>103093</xdr:rowOff>
    </xdr:from>
    <xdr:to>
      <xdr:col>4</xdr:col>
      <xdr:colOff>233082</xdr:colOff>
      <xdr:row>6</xdr:row>
      <xdr:rowOff>13447</xdr:rowOff>
    </xdr:to>
    <xdr:graphicFrame macro="">
      <xdr:nvGraphicFramePr>
        <xdr:cNvPr id="21" name="Chart 20">
          <a:hlinkClick xmlns:r="http://schemas.openxmlformats.org/officeDocument/2006/relationships" r:id="rId10"/>
          <a:extLst>
            <a:ext uri="{FF2B5EF4-FFF2-40B4-BE49-F238E27FC236}">
              <a16:creationId xmlns:a16="http://schemas.microsoft.com/office/drawing/2014/main" id="{F9897981-133A-4F34-8D09-6221452F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318247</xdr:colOff>
      <xdr:row>4</xdr:row>
      <xdr:rowOff>62753</xdr:rowOff>
    </xdr:from>
    <xdr:to>
      <xdr:col>6</xdr:col>
      <xdr:colOff>85165</xdr:colOff>
      <xdr:row>6</xdr:row>
      <xdr:rowOff>4482</xdr:rowOff>
    </xdr:to>
    <xdr:graphicFrame macro="">
      <xdr:nvGraphicFramePr>
        <xdr:cNvPr id="22" name="Chart 21">
          <a:hlinkClick xmlns:r="http://schemas.openxmlformats.org/officeDocument/2006/relationships" r:id="rId12"/>
          <a:extLst>
            <a:ext uri="{FF2B5EF4-FFF2-40B4-BE49-F238E27FC236}">
              <a16:creationId xmlns:a16="http://schemas.microsoft.com/office/drawing/2014/main" id="{CE765CB3-8522-448D-BF78-D690CA868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8965</xdr:colOff>
          <xdr:row>6</xdr:row>
          <xdr:rowOff>22411</xdr:rowOff>
        </xdr:from>
        <xdr:to>
          <xdr:col>6</xdr:col>
          <xdr:colOff>103095</xdr:colOff>
          <xdr:row>8</xdr:row>
          <xdr:rowOff>76199</xdr:rowOff>
        </xdr:to>
        <xdr:pic>
          <xdr:nvPicPr>
            <xdr:cNvPr id="27" name="Picture 26">
              <a:extLst>
                <a:ext uri="{FF2B5EF4-FFF2-40B4-BE49-F238E27FC236}">
                  <a16:creationId xmlns:a16="http://schemas.microsoft.com/office/drawing/2014/main" id="{D241FAE2-8EE6-C241-C114-DB4ED558D996}"/>
                </a:ext>
              </a:extLst>
            </xdr:cNvPr>
            <xdr:cNvPicPr>
              <a:picLocks noChangeAspect="1" noChangeArrowheads="1"/>
              <a:extLst>
                <a:ext uri="{84589F7E-364E-4C9E-8A38-B11213B215E9}">
                  <a14:cameraTool cellRange="'pivot report'!$A$47:$D$49" spid="_x0000_s2106"/>
                </a:ext>
              </a:extLst>
            </xdr:cNvPicPr>
          </xdr:nvPicPr>
          <xdr:blipFill>
            <a:blip xmlns:r="http://schemas.openxmlformats.org/officeDocument/2006/relationships" r:embed="rId14"/>
            <a:srcRect/>
            <a:stretch>
              <a:fillRect/>
            </a:stretch>
          </xdr:blipFill>
          <xdr:spPr bwMode="auto">
            <a:xfrm>
              <a:off x="618565" y="1125070"/>
              <a:ext cx="3142130" cy="421341"/>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44824</xdr:colOff>
      <xdr:row>8</xdr:row>
      <xdr:rowOff>103093</xdr:rowOff>
    </xdr:from>
    <xdr:to>
      <xdr:col>6</xdr:col>
      <xdr:colOff>89647</xdr:colOff>
      <xdr:row>15</xdr:row>
      <xdr:rowOff>161365</xdr:rowOff>
    </xdr:to>
    <xdr:graphicFrame macro="">
      <xdr:nvGraphicFramePr>
        <xdr:cNvPr id="28" name="Chart 27">
          <a:extLst>
            <a:ext uri="{FF2B5EF4-FFF2-40B4-BE49-F238E27FC236}">
              <a16:creationId xmlns:a16="http://schemas.microsoft.com/office/drawing/2014/main" id="{C3F3774D-D9D8-44ED-B454-FE0BBB63E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197224</xdr:colOff>
      <xdr:row>14</xdr:row>
      <xdr:rowOff>147917</xdr:rowOff>
    </xdr:from>
    <xdr:to>
      <xdr:col>4</xdr:col>
      <xdr:colOff>62754</xdr:colOff>
      <xdr:row>15</xdr:row>
      <xdr:rowOff>121022</xdr:rowOff>
    </xdr:to>
    <xdr:sp macro="" textlink="">
      <xdr:nvSpPr>
        <xdr:cNvPr id="29" name="TextBox 28">
          <a:extLst>
            <a:ext uri="{FF2B5EF4-FFF2-40B4-BE49-F238E27FC236}">
              <a16:creationId xmlns:a16="http://schemas.microsoft.com/office/drawing/2014/main" id="{AFAE2F6F-07C6-4C24-8505-69DD74E8BCB9}"/>
            </a:ext>
          </a:extLst>
        </xdr:cNvPr>
        <xdr:cNvSpPr txBox="1"/>
      </xdr:nvSpPr>
      <xdr:spPr>
        <a:xfrm>
          <a:off x="1416424" y="2720788"/>
          <a:ext cx="1084730" cy="156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NO.</a:t>
          </a:r>
          <a:r>
            <a:rPr lang="en-IN" sz="900" baseline="0"/>
            <a:t> of Patient by Age</a:t>
          </a:r>
          <a:endParaRPr lang="en-IN" sz="900"/>
        </a:p>
      </xdr:txBody>
    </xdr:sp>
    <xdr:clientData/>
  </xdr:twoCellAnchor>
  <xdr:twoCellAnchor>
    <xdr:from>
      <xdr:col>6</xdr:col>
      <xdr:colOff>152400</xdr:colOff>
      <xdr:row>0</xdr:row>
      <xdr:rowOff>89647</xdr:rowOff>
    </xdr:from>
    <xdr:to>
      <xdr:col>8</xdr:col>
      <xdr:colOff>291351</xdr:colOff>
      <xdr:row>8</xdr:row>
      <xdr:rowOff>13447</xdr:rowOff>
    </xdr:to>
    <xdr:graphicFrame macro="">
      <xdr:nvGraphicFramePr>
        <xdr:cNvPr id="31" name="Chart 30">
          <a:extLst>
            <a:ext uri="{FF2B5EF4-FFF2-40B4-BE49-F238E27FC236}">
              <a16:creationId xmlns:a16="http://schemas.microsoft.com/office/drawing/2014/main" id="{9F9C5381-0454-4B86-B61E-7FC2E9FF6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164229</xdr:colOff>
      <xdr:row>7</xdr:row>
      <xdr:rowOff>25277</xdr:rowOff>
    </xdr:from>
    <xdr:to>
      <xdr:col>8</xdr:col>
      <xdr:colOff>222499</xdr:colOff>
      <xdr:row>7</xdr:row>
      <xdr:rowOff>183591</xdr:rowOff>
    </xdr:to>
    <xdr:sp macro="" textlink="">
      <xdr:nvSpPr>
        <xdr:cNvPr id="32" name="TextBox 31">
          <a:extLst>
            <a:ext uri="{FF2B5EF4-FFF2-40B4-BE49-F238E27FC236}">
              <a16:creationId xmlns:a16="http://schemas.microsoft.com/office/drawing/2014/main" id="{67CCBA35-AD14-4876-B754-B32E9E2BC635}"/>
            </a:ext>
          </a:extLst>
        </xdr:cNvPr>
        <xdr:cNvSpPr txBox="1"/>
      </xdr:nvSpPr>
      <xdr:spPr>
        <a:xfrm>
          <a:off x="3815479" y="1321735"/>
          <a:ext cx="1275353" cy="15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Patient</a:t>
          </a:r>
          <a:r>
            <a:rPr lang="en-IN" sz="900" baseline="0"/>
            <a:t> attended status</a:t>
          </a:r>
          <a:endParaRPr lang="en-IN" sz="900"/>
        </a:p>
      </xdr:txBody>
    </xdr:sp>
    <xdr:clientData/>
  </xdr:twoCellAnchor>
  <xdr:twoCellAnchor>
    <xdr:from>
      <xdr:col>8</xdr:col>
      <xdr:colOff>359835</xdr:colOff>
      <xdr:row>0</xdr:row>
      <xdr:rowOff>37043</xdr:rowOff>
    </xdr:from>
    <xdr:to>
      <xdr:col>10</xdr:col>
      <xdr:colOff>539751</xdr:colOff>
      <xdr:row>7</xdr:row>
      <xdr:rowOff>137585</xdr:rowOff>
    </xdr:to>
    <xdr:graphicFrame macro="">
      <xdr:nvGraphicFramePr>
        <xdr:cNvPr id="24" name="Chart 23">
          <a:extLst>
            <a:ext uri="{FF2B5EF4-FFF2-40B4-BE49-F238E27FC236}">
              <a16:creationId xmlns:a16="http://schemas.microsoft.com/office/drawing/2014/main" id="{EBD78F9A-3F8F-4697-BD1B-D535562BE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390711</xdr:colOff>
      <xdr:row>7</xdr:row>
      <xdr:rowOff>34802</xdr:rowOff>
    </xdr:from>
    <xdr:to>
      <xdr:col>10</xdr:col>
      <xdr:colOff>448980</xdr:colOff>
      <xdr:row>8</xdr:row>
      <xdr:rowOff>7907</xdr:rowOff>
    </xdr:to>
    <xdr:sp macro="" textlink="">
      <xdr:nvSpPr>
        <xdr:cNvPr id="25" name="TextBox 24">
          <a:extLst>
            <a:ext uri="{FF2B5EF4-FFF2-40B4-BE49-F238E27FC236}">
              <a16:creationId xmlns:a16="http://schemas.microsoft.com/office/drawing/2014/main" id="{C3814AC3-5B27-707B-39C4-2A5F551726CC}"/>
            </a:ext>
          </a:extLst>
        </xdr:cNvPr>
        <xdr:cNvSpPr txBox="1"/>
      </xdr:nvSpPr>
      <xdr:spPr>
        <a:xfrm>
          <a:off x="5259044" y="1331260"/>
          <a:ext cx="1275353" cy="15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Gende</a:t>
          </a:r>
          <a:r>
            <a:rPr lang="en-IN" sz="900" baseline="0"/>
            <a:t>r wise analysis</a:t>
          </a:r>
          <a:endParaRPr lang="en-IN" sz="900"/>
        </a:p>
      </xdr:txBody>
    </xdr:sp>
    <xdr:clientData/>
  </xdr:twoCellAnchor>
  <xdr:twoCellAnchor>
    <xdr:from>
      <xdr:col>6</xdr:col>
      <xdr:colOff>154396</xdr:colOff>
      <xdr:row>8</xdr:row>
      <xdr:rowOff>55780</xdr:rowOff>
    </xdr:from>
    <xdr:to>
      <xdr:col>10</xdr:col>
      <xdr:colOff>465666</xdr:colOff>
      <xdr:row>15</xdr:row>
      <xdr:rowOff>164042</xdr:rowOff>
    </xdr:to>
    <xdr:graphicFrame macro="">
      <xdr:nvGraphicFramePr>
        <xdr:cNvPr id="26" name="Chart 25">
          <a:extLst>
            <a:ext uri="{FF2B5EF4-FFF2-40B4-BE49-F238E27FC236}">
              <a16:creationId xmlns:a16="http://schemas.microsoft.com/office/drawing/2014/main" id="{05B3521B-8DC0-4D5D-8FBB-305A11670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68791</xdr:colOff>
      <xdr:row>14</xdr:row>
      <xdr:rowOff>185207</xdr:rowOff>
    </xdr:from>
    <xdr:to>
      <xdr:col>9</xdr:col>
      <xdr:colOff>396065</xdr:colOff>
      <xdr:row>15</xdr:row>
      <xdr:rowOff>156072</xdr:rowOff>
    </xdr:to>
    <xdr:sp macro="" textlink="">
      <xdr:nvSpPr>
        <xdr:cNvPr id="30" name="TextBox 29">
          <a:extLst>
            <a:ext uri="{FF2B5EF4-FFF2-40B4-BE49-F238E27FC236}">
              <a16:creationId xmlns:a16="http://schemas.microsoft.com/office/drawing/2014/main" id="{376C6357-66D5-B582-82A7-29068F939C3C}"/>
            </a:ext>
          </a:extLst>
        </xdr:cNvPr>
        <xdr:cNvSpPr txBox="1"/>
      </xdr:nvSpPr>
      <xdr:spPr>
        <a:xfrm>
          <a:off x="4328583" y="2778124"/>
          <a:ext cx="1544357" cy="1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No.</a:t>
          </a:r>
          <a:r>
            <a:rPr lang="en-IN" sz="900" baseline="0"/>
            <a:t> of patients by department referral</a:t>
          </a:r>
          <a:endParaRPr lang="en-IN" sz="900"/>
        </a:p>
      </xdr:txBody>
    </xdr:sp>
    <xdr:clientData/>
  </xdr:twoCellAnchor>
  <xdr:twoCellAnchor editAs="oneCell">
    <xdr:from>
      <xdr:col>4</xdr:col>
      <xdr:colOff>497416</xdr:colOff>
      <xdr:row>0</xdr:row>
      <xdr:rowOff>79375</xdr:rowOff>
    </xdr:from>
    <xdr:to>
      <xdr:col>6</xdr:col>
      <xdr:colOff>108333</xdr:colOff>
      <xdr:row>2</xdr:row>
      <xdr:rowOff>153457</xdr:rowOff>
    </xdr:to>
    <mc:AlternateContent xmlns:mc="http://schemas.openxmlformats.org/markup-compatibility/2006" xmlns:a14="http://schemas.microsoft.com/office/drawing/2010/main">
      <mc:Choice Requires="a14">
        <xdr:graphicFrame macro="">
          <xdr:nvGraphicFramePr>
            <xdr:cNvPr id="33" name="Date (Year)">
              <a:extLst>
                <a:ext uri="{FF2B5EF4-FFF2-40B4-BE49-F238E27FC236}">
                  <a16:creationId xmlns:a16="http://schemas.microsoft.com/office/drawing/2014/main" id="{842A3BC3-9887-4442-923C-4AE816D503B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931583" y="79375"/>
              <a:ext cx="828000" cy="44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18</xdr:row>
      <xdr:rowOff>167640</xdr:rowOff>
    </xdr:to>
    <xdr:graphicFrame macro="">
      <xdr:nvGraphicFramePr>
        <xdr:cNvPr id="2" name="Chart 1">
          <a:extLst>
            <a:ext uri="{FF2B5EF4-FFF2-40B4-BE49-F238E27FC236}">
              <a16:creationId xmlns:a16="http://schemas.microsoft.com/office/drawing/2014/main" id="{7B6247D8-FFA6-405E-AA3B-6D24F27AC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403860</xdr:colOff>
      <xdr:row>0</xdr:row>
      <xdr:rowOff>121920</xdr:rowOff>
    </xdr:from>
    <xdr:to>
      <xdr:col>1</xdr:col>
      <xdr:colOff>441960</xdr:colOff>
      <xdr:row>3</xdr:row>
      <xdr:rowOff>83820</xdr:rowOff>
    </xdr:to>
    <xdr:pic>
      <xdr:nvPicPr>
        <xdr:cNvPr id="4" name="Graphic 3" descr="Back with solid fill">
          <a:hlinkClick xmlns:r="http://schemas.openxmlformats.org/officeDocument/2006/relationships" r:id="rId2"/>
          <a:extLst>
            <a:ext uri="{FF2B5EF4-FFF2-40B4-BE49-F238E27FC236}">
              <a16:creationId xmlns:a16="http://schemas.microsoft.com/office/drawing/2014/main" id="{7FB5E85B-0F70-F0AF-F4BC-B300469643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3860" y="121920"/>
          <a:ext cx="647700" cy="5105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20</xdr:row>
      <xdr:rowOff>152400</xdr:rowOff>
    </xdr:to>
    <xdr:graphicFrame macro="">
      <xdr:nvGraphicFramePr>
        <xdr:cNvPr id="2" name="Chart 1">
          <a:extLst>
            <a:ext uri="{FF2B5EF4-FFF2-40B4-BE49-F238E27FC236}">
              <a16:creationId xmlns:a16="http://schemas.microsoft.com/office/drawing/2014/main" id="{AAFC2E87-564B-4CF1-BF6D-DEE3982D9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0.0641</cdr:x>
      <cdr:y>0.00589</cdr:y>
    </cdr:from>
    <cdr:to>
      <cdr:x>0.15246</cdr:x>
      <cdr:y>0.15379</cdr:y>
    </cdr:to>
    <cdr:pic>
      <cdr:nvPicPr>
        <cdr:cNvPr id="2" name="Graphic 3"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FB5E85B-0F70-F0AF-F4BC-B300469643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9900" y="20320"/>
          <a:ext cx="647700" cy="5105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594360</xdr:colOff>
      <xdr:row>20</xdr:row>
      <xdr:rowOff>175260</xdr:rowOff>
    </xdr:to>
    <xdr:graphicFrame macro="">
      <xdr:nvGraphicFramePr>
        <xdr:cNvPr id="3" name="Chart 2">
          <a:extLst>
            <a:ext uri="{FF2B5EF4-FFF2-40B4-BE49-F238E27FC236}">
              <a16:creationId xmlns:a16="http://schemas.microsoft.com/office/drawing/2014/main" id="{E5B0A7ED-E271-4493-A6E6-E9304BB3E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0.05449</cdr:x>
      <cdr:y>0.01723</cdr:y>
    </cdr:from>
    <cdr:to>
      <cdr:x>0.15627</cdr:x>
      <cdr:y>0.16425</cdr:y>
    </cdr:to>
    <cdr:pic>
      <cdr:nvPicPr>
        <cdr:cNvPr id="2" name="Graphic 3"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4D82D7D-8B52-EAAF-7204-051F785153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31800" y="66040"/>
          <a:ext cx="806617" cy="563499"/>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2245372" createdVersion="5" refreshedVersion="8" minRefreshableVersion="3" recordCount="0" supportSubquery="1" supportAdvancedDrill="1" xr:uid="{6701477B-0CBF-4FA1-BCBF-9231ED36BA4A}">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247685" createdVersion="5" refreshedVersion="8" minRefreshableVersion="3" recordCount="0" supportSubquery="1" supportAdvancedDrill="1" xr:uid="{E9ADCB98-D597-4B5F-A7C7-EE8E91D1DF5F}">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2708334" createdVersion="5" refreshedVersion="8" minRefreshableVersion="3" recordCount="0" supportSubquery="1" supportAdvancedDrill="1" xr:uid="{8DE6F974-CE84-452F-9D4E-48F7857A7AD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2824073" createdVersion="5" refreshedVersion="8" minRefreshableVersion="3" recordCount="0" supportSubquery="1" supportAdvancedDrill="1" xr:uid="{2980302C-5091-4CAD-9B9E-F7246955C13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3287035" createdVersion="5" refreshedVersion="8" minRefreshableVersion="3" recordCount="0" supportSubquery="1" supportAdvancedDrill="1" xr:uid="{A8129A64-7986-4641-BE8E-5C9B1DD97633}">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3634258" createdVersion="5" refreshedVersion="8" minRefreshableVersion="3" recordCount="0" supportSubquery="1" supportAdvancedDrill="1" xr:uid="{2D3A3EF4-328A-4F84-9A3A-696963D436DA}">
  <cacheSource type="external" connectionId="3"/>
  <cacheFields count="4">
    <cacheField name="[Calender_table].[Date (Day)].[Date (Day)]" caption="Date (Day)" numFmtId="0" hierarchy="2" level="1">
      <sharedItems count="29">
        <s v="1-Sep"/>
        <s v="2-Sep"/>
        <s v="3-Sep"/>
        <s v="4-Sep"/>
        <s v="5-Sep"/>
        <s v="6-Sep"/>
        <s v="7-Sep"/>
        <s v="8-Sep"/>
        <s v="9-Sep"/>
        <s v="10-Sep"/>
        <s v="11-Sep"/>
        <s v="12-Sep"/>
        <s v="13-Sep"/>
        <s v="14-Sep"/>
        <s v="15-Sep"/>
        <s v="16-Sep"/>
        <s v="17-Sep"/>
        <s v="18-Sep"/>
        <s v="19-Sep"/>
        <s v="20-Sep"/>
        <s v="21-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3981481" createdVersion="5" refreshedVersion="8" minRefreshableVersion="3" recordCount="0" supportSubquery="1" supportAdvancedDrill="1" xr:uid="{789F4CF4-C754-47FA-81A7-0BDF3BE4BA52}">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4328705" createdVersion="5" refreshedVersion="8" minRefreshableVersion="3" recordCount="0" supportSubquery="1" supportAdvancedDrill="1" xr:uid="{7088289C-6E20-4228-A1B4-B41619C6969E}">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09"/>
        <s v="10-19"/>
        <s v="20-29"/>
        <s v="30-39"/>
        <s v="40-49"/>
        <s v="50-59"/>
        <s v="60-69"/>
        <s v="70-79"/>
      </sharedItems>
    </cacheField>
    <cacheField name="[Measures].[Count of Age_Group]" caption="Count of Age_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4791667" createdVersion="5" refreshedVersion="8" minRefreshableVersion="3" recordCount="0" supportSubquery="1" supportAdvancedDrill="1" xr:uid="{1D322D24-D260-41AC-BF84-70CC9D36E3F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513889" createdVersion="5" refreshedVersion="8" minRefreshableVersion="3" recordCount="0" supportSubquery="1" supportAdvancedDrill="1" xr:uid="{87756E46-A31F-4A6E-A688-1D9DC544789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5486113" createdVersion="5" refreshedVersion="8" minRefreshableVersion="3" recordCount="0" supportSubquery="1" supportAdvancedDrill="1" xr:uid="{4695FEC6-2B48-4587-AD6F-6122D8EB365D}">
  <cacheSource type="external" connectionId="3"/>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65145833336" createdVersion="5" refreshedVersion="8" minRefreshableVersion="3" recordCount="0" supportSubquery="1" supportAdvancedDrill="1" xr:uid="{043B76A2-FE60-4E6A-84B4-B57C6EE8E9CB}">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2"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607738657411" createdVersion="3" refreshedVersion="8" minRefreshableVersion="3" recordCount="0" supportSubquery="1" supportAdvancedDrill="1" xr:uid="{9352A8B4-EDD5-4DE8-A4E9-D361D1DA8F7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patient_admission_time]" caption="patient_admission_time" attribute="1" time="1" defaultMemberUniqueName="[Hospital Emergency Room Data].[patient_admission_time].[All]" allUniqueName="[Hospital Emergency Room Data].[patient_admission_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109653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39E2B-6AC5-4828-8849-16666A2C0388}" name="PivotTable10" cacheId="9"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chartFormat="16">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EC2DAF-1817-4597-B806-AAA8E24F5234}" name="PivotTable7" cacheId="0" applyNumberFormats="0" applyBorderFormats="0" applyFontFormats="0" applyPatternFormats="0" applyAlignmentFormats="0" applyWidthHeightFormats="1" dataCaption="Values" tag="f33722f4-0b6d-406d-8383-ca7a8dd9d7f3" updatedVersion="8" minRefreshableVersion="3" subtotalHiddenItems="1" itemPrintTitles="1" createdVersion="5" indent="0" outline="1" outlineData="1" multipleFieldFilters="0" chartFormat="8">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07ABC-8579-4E70-9674-CF81C9327AFD}" name="PivotTable4" cacheId="4" applyNumberFormats="0" applyBorderFormats="0" applyFontFormats="0" applyPatternFormats="0" applyAlignmentFormats="0" applyWidthHeightFormats="1" dataCaption="Values" tag="f33722f4-0b6d-406d-8383-ca7a8dd9d7f3" updatedVersion="8" minRefreshableVersion="3" subtotalHiddenItems="1" itemPrintTitles="1" createdVersion="5" indent="0" outline="1" outlineData="1" multipleFieldFilters="0" chartFormat="16">
  <location ref="H5:I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BEE838-37A0-41F4-92CD-1E7D45F027A9}" name="PivotTable2" cacheId="2"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F5266B-9A7E-4DF2-9FDD-7F4D8D832A1C}" name="PivotTable12" cacheId="11"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chartFormat="16">
  <location ref="A90:A9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5E49F1-CEBE-4E24-8C21-933ED67DD2F2}" name="PivotTable3" cacheId="3"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FDEC46-2D0D-4120-912F-236F47E9E423}" name="PivotTable6" cacheId="6"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chartFormat="1">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
      <pivotArea outline="0" collapsedLevelsAreSubtotals="1" fieldPosition="0"/>
    </format>
    <format dxfId="6">
      <pivotArea collapsedLevelsAreSubtotals="1" fieldPosition="0">
        <references count="1">
          <reference field="2" count="0"/>
        </references>
      </pivotArea>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3C74CE-24B7-44E6-8032-AB1793048B9C}" name="PivotTable9" cacheId="8"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chartFormat="10">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8">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6A1289-B051-40A7-A7E7-A1826EB7BF56}" name="PivotTable8" cacheId="7"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chartFormat="4">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numFmtId="1"/>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201DBE-37A6-41E5-86EB-BB4AC9AA50CE}" name="PivotTable1" cacheId="1"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4917F2-A044-449F-A412-D379E0883EAC}" name="PivotTable11" cacheId="10" applyNumberFormats="0" applyBorderFormats="0" applyFontFormats="0" applyPatternFormats="0" applyAlignmentFormats="0" applyWidthHeightFormats="1" dataCaption="Values" tag="f33722f4-0b6d-406d-8383-ca7a8dd9d7f3" updatedVersion="8" minRefreshableVersion="3" itemPrintTitles="1" createdVersion="5" indent="0" outline="1" outlineData="1" multipleFieldFilters="0" chartFormat="19">
  <location ref="A78:B8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i>
    <i>
      <x v="3"/>
    </i>
    <i>
      <x v="1"/>
    </i>
    <i>
      <x v="6"/>
    </i>
    <i>
      <x v="5"/>
    </i>
    <i>
      <x v="2"/>
    </i>
    <i>
      <x v="4"/>
    </i>
    <i t="grand">
      <x/>
    </i>
  </rowItems>
  <colItems count="1">
    <i/>
  </colItems>
  <dataFields count="1">
    <dataField name="Count of Department Referral" fld="1" subtotal="count" baseField="0" baseItem="0"/>
  </dataFields>
  <formats count="1">
    <format dxfId="10">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134353-FD2B-47B3-B1CA-3E8AD90766C2}" name="PivotTable5" cacheId="5" applyNumberFormats="0" applyBorderFormats="0" applyFontFormats="0" applyPatternFormats="0" applyAlignmentFormats="0" applyWidthHeightFormats="1" dataCaption="Values" tag="f33722f4-0b6d-406d-8383-ca7a8dd9d7f3" updatedVersion="8" minRefreshableVersion="3" subtotalHiddenItems="1" itemPrintTitles="1" createdVersion="5" indent="0" outline="1" outlineData="1" multipleFieldFilters="0" chartFormat="33">
  <location ref="L5:M35"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4"/>
  </dataFields>
  <formats count="1">
    <format dxfId="11">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C1DFDE6-4886-479F-B3FD-D82CAD005021}" sourceName="[Calender_table].[Date (Month)]">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ivotTable10"/>
    <pivotTable tabId="1" name="PivotTable11"/>
    <pivotTable tabId="1" name="PivotTable12"/>
  </pivotTables>
  <data>
    <olap pivotCacheId="151096538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A311652-5EEF-4917-8183-D156B92578DB}"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1096538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D5D1129-164E-4AFF-8F21-921C42C24823}" cache="Slicer_Date__Month" caption="Date (Month)" showCaption="0" level="1" style="my style" rowHeight="144000"/>
  <slicer name="Date (Year)" xr10:uid="{E3053BF9-C1AE-4F22-A6C6-5FDAFF010388}" cache="Slicer_Date__Year" caption="Date (Year)" showCaption="0" level="1" rowHeight="10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DB489-71D8-4849-9E23-E75BA0094EFF}">
  <dimension ref="A4:M92"/>
  <sheetViews>
    <sheetView topLeftCell="A69" workbookViewId="0">
      <selection activeCell="A92" sqref="A92"/>
    </sheetView>
  </sheetViews>
  <sheetFormatPr defaultRowHeight="14.4" x14ac:dyDescent="0.3"/>
  <cols>
    <col min="1" max="1" width="17.6640625" customWidth="1"/>
    <col min="2" max="2" width="18.21875" customWidth="1"/>
    <col min="3" max="3" width="15.88671875" customWidth="1"/>
    <col min="4" max="4" width="20" customWidth="1"/>
    <col min="5" max="5" width="23.6640625" customWidth="1"/>
    <col min="8" max="8" width="22.5546875" customWidth="1"/>
    <col min="9" max="9" width="24.33203125" customWidth="1"/>
    <col min="12" max="12" width="21.6640625" customWidth="1"/>
    <col min="13" max="13" width="31.77734375" customWidth="1"/>
  </cols>
  <sheetData>
    <row r="4" spans="1:13" x14ac:dyDescent="0.3">
      <c r="D4" t="s">
        <v>5</v>
      </c>
      <c r="H4" t="s">
        <v>6</v>
      </c>
      <c r="L4" t="s">
        <v>7</v>
      </c>
    </row>
    <row r="5" spans="1:13" x14ac:dyDescent="0.3">
      <c r="A5" t="s">
        <v>0</v>
      </c>
      <c r="D5" s="3" t="s">
        <v>4</v>
      </c>
      <c r="E5" t="s">
        <v>0</v>
      </c>
      <c r="H5" s="3" t="s">
        <v>4</v>
      </c>
      <c r="I5" t="s">
        <v>1</v>
      </c>
      <c r="L5" s="3" t="s">
        <v>4</v>
      </c>
      <c r="M5" t="s">
        <v>2</v>
      </c>
    </row>
    <row r="6" spans="1:13" x14ac:dyDescent="0.3">
      <c r="A6">
        <v>466</v>
      </c>
      <c r="D6" s="4" t="s">
        <v>43</v>
      </c>
      <c r="E6">
        <v>23</v>
      </c>
      <c r="H6" s="4" t="s">
        <v>43</v>
      </c>
      <c r="I6" s="1">
        <v>39.304347826086953</v>
      </c>
      <c r="L6" s="4" t="s">
        <v>43</v>
      </c>
      <c r="M6" s="1">
        <v>4.2857142857142856</v>
      </c>
    </row>
    <row r="7" spans="1:13" x14ac:dyDescent="0.3">
      <c r="D7" s="4" t="s">
        <v>44</v>
      </c>
      <c r="E7">
        <v>17</v>
      </c>
      <c r="H7" s="4" t="s">
        <v>44</v>
      </c>
      <c r="I7" s="1">
        <v>36.941176470588232</v>
      </c>
      <c r="L7" s="4" t="s">
        <v>44</v>
      </c>
      <c r="M7" s="1">
        <v>2.6666666666666665</v>
      </c>
    </row>
    <row r="8" spans="1:13" x14ac:dyDescent="0.3">
      <c r="D8" s="4" t="s">
        <v>45</v>
      </c>
      <c r="E8">
        <v>20</v>
      </c>
      <c r="H8" s="4" t="s">
        <v>45</v>
      </c>
      <c r="I8" s="1">
        <v>35.549999999999997</v>
      </c>
      <c r="L8" s="4" t="s">
        <v>45</v>
      </c>
      <c r="M8" s="1">
        <v>3.8571428571428572</v>
      </c>
    </row>
    <row r="9" spans="1:13" x14ac:dyDescent="0.3">
      <c r="D9" s="4" t="s">
        <v>46</v>
      </c>
      <c r="E9">
        <v>16</v>
      </c>
      <c r="H9" s="4" t="s">
        <v>46</v>
      </c>
      <c r="I9" s="1">
        <v>32</v>
      </c>
      <c r="L9" s="4" t="s">
        <v>46</v>
      </c>
      <c r="M9" s="1">
        <v>5.6</v>
      </c>
    </row>
    <row r="10" spans="1:13" x14ac:dyDescent="0.3">
      <c r="D10" s="4" t="s">
        <v>47</v>
      </c>
      <c r="E10">
        <v>11</v>
      </c>
      <c r="H10" s="4" t="s">
        <v>47</v>
      </c>
      <c r="I10" s="1">
        <v>43.81818181818182</v>
      </c>
      <c r="L10" s="4" t="s">
        <v>47</v>
      </c>
      <c r="M10" s="1">
        <v>7</v>
      </c>
    </row>
    <row r="11" spans="1:13" x14ac:dyDescent="0.3">
      <c r="A11" t="s">
        <v>1</v>
      </c>
      <c r="D11" s="4" t="s">
        <v>48</v>
      </c>
      <c r="E11">
        <v>17</v>
      </c>
      <c r="H11" s="4" t="s">
        <v>48</v>
      </c>
      <c r="I11" s="1">
        <v>37.823529411764703</v>
      </c>
      <c r="L11" s="4" t="s">
        <v>48</v>
      </c>
      <c r="M11" s="1">
        <v>4</v>
      </c>
    </row>
    <row r="12" spans="1:13" x14ac:dyDescent="0.3">
      <c r="A12" s="1">
        <v>35.06008583690987</v>
      </c>
      <c r="D12" s="4" t="s">
        <v>49</v>
      </c>
      <c r="E12">
        <v>15</v>
      </c>
      <c r="H12" s="4" t="s">
        <v>49</v>
      </c>
      <c r="I12" s="1">
        <v>37.533333333333331</v>
      </c>
      <c r="L12" s="4" t="s">
        <v>49</v>
      </c>
      <c r="M12" s="1">
        <v>3.2</v>
      </c>
    </row>
    <row r="13" spans="1:13" x14ac:dyDescent="0.3">
      <c r="D13" s="4" t="s">
        <v>50</v>
      </c>
      <c r="E13">
        <v>17</v>
      </c>
      <c r="H13" s="4" t="s">
        <v>50</v>
      </c>
      <c r="I13" s="1">
        <v>31.588235294117649</v>
      </c>
      <c r="L13" s="4" t="s">
        <v>50</v>
      </c>
      <c r="M13" s="1">
        <v>5.5</v>
      </c>
    </row>
    <row r="14" spans="1:13" x14ac:dyDescent="0.3">
      <c r="D14" s="4" t="s">
        <v>51</v>
      </c>
      <c r="E14">
        <v>17</v>
      </c>
      <c r="H14" s="4" t="s">
        <v>51</v>
      </c>
      <c r="I14" s="1">
        <v>32.647058823529413</v>
      </c>
      <c r="L14" s="4" t="s">
        <v>51</v>
      </c>
      <c r="M14" s="1">
        <v>5</v>
      </c>
    </row>
    <row r="15" spans="1:13" x14ac:dyDescent="0.3">
      <c r="A15" t="s">
        <v>2</v>
      </c>
      <c r="D15" s="4" t="s">
        <v>52</v>
      </c>
      <c r="E15">
        <v>13</v>
      </c>
      <c r="H15" s="4" t="s">
        <v>52</v>
      </c>
      <c r="I15" s="1">
        <v>34.846153846153847</v>
      </c>
      <c r="L15" s="4" t="s">
        <v>52</v>
      </c>
      <c r="M15" s="1">
        <v>7</v>
      </c>
    </row>
    <row r="16" spans="1:13" x14ac:dyDescent="0.3">
      <c r="A16" s="1">
        <v>4.9083333333333332</v>
      </c>
      <c r="D16" s="4" t="s">
        <v>53</v>
      </c>
      <c r="E16">
        <v>12</v>
      </c>
      <c r="H16" s="4" t="s">
        <v>53</v>
      </c>
      <c r="I16" s="1">
        <v>36.666666666666664</v>
      </c>
      <c r="L16" s="4" t="s">
        <v>53</v>
      </c>
      <c r="M16" s="1">
        <v>6</v>
      </c>
    </row>
    <row r="17" spans="4:13" x14ac:dyDescent="0.3">
      <c r="D17" s="4" t="s">
        <v>54</v>
      </c>
      <c r="E17">
        <v>19</v>
      </c>
      <c r="H17" s="4" t="s">
        <v>54</v>
      </c>
      <c r="I17" s="1">
        <v>31.94736842105263</v>
      </c>
      <c r="L17" s="4" t="s">
        <v>54</v>
      </c>
      <c r="M17" s="1">
        <v>6.5</v>
      </c>
    </row>
    <row r="18" spans="4:13" x14ac:dyDescent="0.3">
      <c r="D18" s="4" t="s">
        <v>55</v>
      </c>
      <c r="E18">
        <v>12</v>
      </c>
      <c r="H18" s="4" t="s">
        <v>55</v>
      </c>
      <c r="I18" s="1">
        <v>37.416666666666664</v>
      </c>
      <c r="L18" s="4" t="s">
        <v>55</v>
      </c>
      <c r="M18" s="1">
        <v>3.5</v>
      </c>
    </row>
    <row r="19" spans="4:13" x14ac:dyDescent="0.3">
      <c r="D19" s="4" t="s">
        <v>56</v>
      </c>
      <c r="E19">
        <v>15</v>
      </c>
      <c r="H19" s="4" t="s">
        <v>56</v>
      </c>
      <c r="I19" s="1">
        <v>33.4</v>
      </c>
      <c r="L19" s="4" t="s">
        <v>56</v>
      </c>
      <c r="M19" s="1">
        <v>5.4</v>
      </c>
    </row>
    <row r="20" spans="4:13" x14ac:dyDescent="0.3">
      <c r="D20" s="4" t="s">
        <v>57</v>
      </c>
      <c r="E20">
        <v>18</v>
      </c>
      <c r="H20" s="4" t="s">
        <v>57</v>
      </c>
      <c r="I20" s="1">
        <v>37.944444444444443</v>
      </c>
      <c r="L20" s="4" t="s">
        <v>57</v>
      </c>
      <c r="M20" s="1">
        <v>5</v>
      </c>
    </row>
    <row r="21" spans="4:13" x14ac:dyDescent="0.3">
      <c r="D21" s="4" t="s">
        <v>58</v>
      </c>
      <c r="E21">
        <v>13</v>
      </c>
      <c r="H21" s="4" t="s">
        <v>58</v>
      </c>
      <c r="I21" s="1">
        <v>32.769230769230766</v>
      </c>
      <c r="L21" s="4" t="s">
        <v>58</v>
      </c>
      <c r="M21" s="1">
        <v>4.4000000000000004</v>
      </c>
    </row>
    <row r="22" spans="4:13" x14ac:dyDescent="0.3">
      <c r="D22" s="4" t="s">
        <v>59</v>
      </c>
      <c r="E22">
        <v>22</v>
      </c>
      <c r="H22" s="4" t="s">
        <v>59</v>
      </c>
      <c r="I22" s="1">
        <v>31.863636363636363</v>
      </c>
      <c r="L22" s="4" t="s">
        <v>59</v>
      </c>
      <c r="M22" s="1">
        <v>6.75</v>
      </c>
    </row>
    <row r="23" spans="4:13" x14ac:dyDescent="0.3">
      <c r="D23" s="4" t="s">
        <v>60</v>
      </c>
      <c r="E23">
        <v>16</v>
      </c>
      <c r="H23" s="4" t="s">
        <v>60</v>
      </c>
      <c r="I23" s="1">
        <v>37.8125</v>
      </c>
      <c r="L23" s="4" t="s">
        <v>60</v>
      </c>
      <c r="M23" s="1">
        <v>7</v>
      </c>
    </row>
    <row r="24" spans="4:13" x14ac:dyDescent="0.3">
      <c r="D24" s="4" t="s">
        <v>61</v>
      </c>
      <c r="E24">
        <v>13</v>
      </c>
      <c r="H24" s="4" t="s">
        <v>61</v>
      </c>
      <c r="I24" s="1">
        <v>28.46153846153846</v>
      </c>
      <c r="L24" s="4" t="s">
        <v>61</v>
      </c>
      <c r="M24" s="1">
        <v>4.666666666666667</v>
      </c>
    </row>
    <row r="25" spans="4:13" x14ac:dyDescent="0.3">
      <c r="D25" s="4" t="s">
        <v>62</v>
      </c>
      <c r="E25">
        <v>14</v>
      </c>
      <c r="H25" s="4" t="s">
        <v>62</v>
      </c>
      <c r="I25" s="1">
        <v>33.571428571428569</v>
      </c>
      <c r="L25" s="4" t="s">
        <v>62</v>
      </c>
      <c r="M25" s="1">
        <v>3</v>
      </c>
    </row>
    <row r="26" spans="4:13" x14ac:dyDescent="0.3">
      <c r="D26" s="4" t="s">
        <v>63</v>
      </c>
      <c r="E26">
        <v>21</v>
      </c>
      <c r="H26" s="4" t="s">
        <v>63</v>
      </c>
      <c r="I26" s="1">
        <v>35.666666666666664</v>
      </c>
      <c r="L26" s="4" t="s">
        <v>63</v>
      </c>
      <c r="M26" s="1">
        <v>3.4285714285714284</v>
      </c>
    </row>
    <row r="27" spans="4:13" x14ac:dyDescent="0.3">
      <c r="D27" s="4" t="s">
        <v>64</v>
      </c>
      <c r="E27">
        <v>9</v>
      </c>
      <c r="H27" s="4" t="s">
        <v>64</v>
      </c>
      <c r="I27" s="1">
        <v>27</v>
      </c>
      <c r="L27" s="4" t="s">
        <v>65</v>
      </c>
      <c r="M27" s="1">
        <v>2.3333333333333335</v>
      </c>
    </row>
    <row r="28" spans="4:13" x14ac:dyDescent="0.3">
      <c r="D28" s="4" t="s">
        <v>65</v>
      </c>
      <c r="E28">
        <v>10</v>
      </c>
      <c r="H28" s="4" t="s">
        <v>65</v>
      </c>
      <c r="I28" s="1">
        <v>42.4</v>
      </c>
      <c r="L28" s="4" t="s">
        <v>66</v>
      </c>
      <c r="M28" s="1">
        <v>6</v>
      </c>
    </row>
    <row r="29" spans="4:13" x14ac:dyDescent="0.3">
      <c r="D29" s="4" t="s">
        <v>66</v>
      </c>
      <c r="E29">
        <v>15</v>
      </c>
      <c r="H29" s="4" t="s">
        <v>66</v>
      </c>
      <c r="I29" s="1">
        <v>37.333333333333336</v>
      </c>
      <c r="L29" s="4" t="s">
        <v>67</v>
      </c>
      <c r="M29" s="1">
        <v>5.8</v>
      </c>
    </row>
    <row r="30" spans="4:13" x14ac:dyDescent="0.3">
      <c r="D30" s="4" t="s">
        <v>67</v>
      </c>
      <c r="E30">
        <v>15</v>
      </c>
      <c r="H30" s="4" t="s">
        <v>67</v>
      </c>
      <c r="I30" s="1">
        <v>34.266666666666666</v>
      </c>
      <c r="L30" s="4" t="s">
        <v>68</v>
      </c>
      <c r="M30" s="1">
        <v>5</v>
      </c>
    </row>
    <row r="31" spans="4:13" x14ac:dyDescent="0.3">
      <c r="D31" s="4" t="s">
        <v>68</v>
      </c>
      <c r="E31">
        <v>13</v>
      </c>
      <c r="H31" s="4" t="s">
        <v>68</v>
      </c>
      <c r="I31" s="1">
        <v>34.92307692307692</v>
      </c>
      <c r="L31" s="4" t="s">
        <v>69</v>
      </c>
      <c r="M31" s="1">
        <v>2</v>
      </c>
    </row>
    <row r="32" spans="4:13" x14ac:dyDescent="0.3">
      <c r="D32" s="4" t="s">
        <v>69</v>
      </c>
      <c r="E32">
        <v>12</v>
      </c>
      <c r="H32" s="4" t="s">
        <v>69</v>
      </c>
      <c r="I32" s="1">
        <v>33.166666666666664</v>
      </c>
      <c r="L32" s="4" t="s">
        <v>70</v>
      </c>
      <c r="M32" s="1">
        <v>3</v>
      </c>
    </row>
    <row r="33" spans="1:13" x14ac:dyDescent="0.3">
      <c r="D33" s="4" t="s">
        <v>70</v>
      </c>
      <c r="E33">
        <v>17</v>
      </c>
      <c r="H33" s="4" t="s">
        <v>70</v>
      </c>
      <c r="I33" s="1">
        <v>32.588235294117645</v>
      </c>
      <c r="L33" s="4" t="s">
        <v>71</v>
      </c>
      <c r="M33" s="1">
        <v>8.5</v>
      </c>
    </row>
    <row r="34" spans="1:13" x14ac:dyDescent="0.3">
      <c r="D34" s="4" t="s">
        <v>71</v>
      </c>
      <c r="E34">
        <v>17</v>
      </c>
      <c r="H34" s="4" t="s">
        <v>71</v>
      </c>
      <c r="I34" s="1">
        <v>33.294117647058826</v>
      </c>
      <c r="L34" s="4" t="s">
        <v>72</v>
      </c>
      <c r="M34" s="1">
        <v>5.5714285714285712</v>
      </c>
    </row>
    <row r="35" spans="1:13" x14ac:dyDescent="0.3">
      <c r="D35" s="4" t="s">
        <v>72</v>
      </c>
      <c r="E35">
        <v>17</v>
      </c>
      <c r="H35" s="4" t="s">
        <v>72</v>
      </c>
      <c r="I35" s="1">
        <v>37.411764705882355</v>
      </c>
      <c r="L35" s="4" t="s">
        <v>3</v>
      </c>
      <c r="M35" s="1">
        <v>4.9083333333333332</v>
      </c>
    </row>
    <row r="36" spans="1:13" x14ac:dyDescent="0.3">
      <c r="D36" s="4" t="s">
        <v>3</v>
      </c>
      <c r="E36">
        <v>466</v>
      </c>
      <c r="H36" s="4" t="s">
        <v>3</v>
      </c>
      <c r="I36" s="1">
        <v>35.06008583690987</v>
      </c>
    </row>
    <row r="40" spans="1:13" x14ac:dyDescent="0.3">
      <c r="A40" s="3" t="s">
        <v>4</v>
      </c>
      <c r="B40" t="s">
        <v>8</v>
      </c>
      <c r="C40" t="s">
        <v>11</v>
      </c>
    </row>
    <row r="41" spans="1:13" x14ac:dyDescent="0.3">
      <c r="A41" s="4" t="s">
        <v>9</v>
      </c>
      <c r="B41" s="5">
        <v>236</v>
      </c>
      <c r="C41" s="6">
        <v>0.50643776824034337</v>
      </c>
    </row>
    <row r="42" spans="1:13" x14ac:dyDescent="0.3">
      <c r="A42" s="4" t="s">
        <v>10</v>
      </c>
      <c r="B42" s="5">
        <v>230</v>
      </c>
      <c r="C42" s="6">
        <v>0.49356223175965663</v>
      </c>
    </row>
    <row r="43" spans="1:13" x14ac:dyDescent="0.3">
      <c r="A43" s="4" t="s">
        <v>3</v>
      </c>
      <c r="B43" s="1">
        <v>466</v>
      </c>
      <c r="C43" s="6">
        <v>1</v>
      </c>
    </row>
    <row r="47" spans="1:13" x14ac:dyDescent="0.3">
      <c r="A47" s="8" t="s">
        <v>12</v>
      </c>
      <c r="B47" s="8" t="s">
        <v>13</v>
      </c>
      <c r="C47" s="8" t="s">
        <v>14</v>
      </c>
      <c r="D47" s="7"/>
    </row>
    <row r="48" spans="1:13" x14ac:dyDescent="0.3">
      <c r="A48" s="9" t="str">
        <f>A41</f>
        <v>Admitted</v>
      </c>
      <c r="B48" s="9">
        <f t="shared" ref="B48:C49" si="0">B41</f>
        <v>236</v>
      </c>
      <c r="C48" s="9">
        <f t="shared" si="0"/>
        <v>0.50643776824034337</v>
      </c>
    </row>
    <row r="49" spans="1:3" x14ac:dyDescent="0.3">
      <c r="A49" s="9" t="str">
        <f>A42</f>
        <v>Not Admitted</v>
      </c>
      <c r="B49" s="9">
        <f t="shared" si="0"/>
        <v>230</v>
      </c>
      <c r="C49" s="9">
        <f t="shared" si="0"/>
        <v>0.49356223175965663</v>
      </c>
    </row>
    <row r="51" spans="1:3" x14ac:dyDescent="0.3">
      <c r="A51" t="s">
        <v>24</v>
      </c>
    </row>
    <row r="52" spans="1:3" x14ac:dyDescent="0.3">
      <c r="A52" s="3" t="s">
        <v>4</v>
      </c>
      <c r="B52" t="s">
        <v>23</v>
      </c>
    </row>
    <row r="53" spans="1:3" x14ac:dyDescent="0.3">
      <c r="A53" s="4" t="s">
        <v>15</v>
      </c>
      <c r="B53" s="5">
        <v>58</v>
      </c>
    </row>
    <row r="54" spans="1:3" x14ac:dyDescent="0.3">
      <c r="A54" s="4" t="s">
        <v>16</v>
      </c>
      <c r="B54" s="5">
        <v>61</v>
      </c>
    </row>
    <row r="55" spans="1:3" x14ac:dyDescent="0.3">
      <c r="A55" s="4" t="s">
        <v>17</v>
      </c>
      <c r="B55" s="5">
        <v>64</v>
      </c>
    </row>
    <row r="56" spans="1:3" x14ac:dyDescent="0.3">
      <c r="A56" s="4" t="s">
        <v>18</v>
      </c>
      <c r="B56" s="5">
        <v>64</v>
      </c>
    </row>
    <row r="57" spans="1:3" x14ac:dyDescent="0.3">
      <c r="A57" s="4" t="s">
        <v>19</v>
      </c>
      <c r="B57" s="5">
        <v>65</v>
      </c>
    </row>
    <row r="58" spans="1:3" x14ac:dyDescent="0.3">
      <c r="A58" s="4" t="s">
        <v>20</v>
      </c>
      <c r="B58" s="5">
        <v>52</v>
      </c>
    </row>
    <row r="59" spans="1:3" x14ac:dyDescent="0.3">
      <c r="A59" s="4" t="s">
        <v>21</v>
      </c>
      <c r="B59" s="5">
        <v>57</v>
      </c>
    </row>
    <row r="60" spans="1:3" x14ac:dyDescent="0.3">
      <c r="A60" s="4" t="s">
        <v>22</v>
      </c>
      <c r="B60" s="5">
        <v>45</v>
      </c>
    </row>
    <row r="61" spans="1:3" x14ac:dyDescent="0.3">
      <c r="A61" s="4" t="s">
        <v>3</v>
      </c>
      <c r="B61" s="5">
        <v>466</v>
      </c>
    </row>
    <row r="65" spans="1:2" x14ac:dyDescent="0.3">
      <c r="A65" t="s">
        <v>28</v>
      </c>
    </row>
    <row r="66" spans="1:2" x14ac:dyDescent="0.3">
      <c r="A66" s="3" t="s">
        <v>4</v>
      </c>
      <c r="B66" t="s">
        <v>27</v>
      </c>
    </row>
    <row r="67" spans="1:2" x14ac:dyDescent="0.3">
      <c r="A67" s="4" t="s">
        <v>26</v>
      </c>
      <c r="B67" s="5">
        <v>278</v>
      </c>
    </row>
    <row r="68" spans="1:2" x14ac:dyDescent="0.3">
      <c r="A68" s="4" t="s">
        <v>25</v>
      </c>
      <c r="B68" s="5">
        <v>188</v>
      </c>
    </row>
    <row r="69" spans="1:2" x14ac:dyDescent="0.3">
      <c r="A69" s="4" t="s">
        <v>3</v>
      </c>
      <c r="B69" s="5">
        <v>466</v>
      </c>
    </row>
    <row r="71" spans="1:2" x14ac:dyDescent="0.3">
      <c r="A71" s="10" t="s">
        <v>32</v>
      </c>
    </row>
    <row r="72" spans="1:2" x14ac:dyDescent="0.3">
      <c r="A72" s="3" t="s">
        <v>4</v>
      </c>
      <c r="B72" t="s">
        <v>31</v>
      </c>
    </row>
    <row r="73" spans="1:2" x14ac:dyDescent="0.3">
      <c r="A73" s="4" t="s">
        <v>29</v>
      </c>
      <c r="B73" s="5">
        <v>237</v>
      </c>
    </row>
    <row r="74" spans="1:2" x14ac:dyDescent="0.3">
      <c r="A74" s="4" t="s">
        <v>30</v>
      </c>
      <c r="B74" s="5">
        <v>229</v>
      </c>
    </row>
    <row r="75" spans="1:2" x14ac:dyDescent="0.3">
      <c r="A75" s="4" t="s">
        <v>3</v>
      </c>
      <c r="B75" s="5">
        <v>466</v>
      </c>
    </row>
    <row r="78" spans="1:2" x14ac:dyDescent="0.3">
      <c r="A78" s="3" t="s">
        <v>4</v>
      </c>
      <c r="B78" t="s">
        <v>33</v>
      </c>
    </row>
    <row r="79" spans="1:2" x14ac:dyDescent="0.3">
      <c r="A79" s="4" t="s">
        <v>41</v>
      </c>
      <c r="B79" s="5">
        <v>6</v>
      </c>
    </row>
    <row r="80" spans="1:2" x14ac:dyDescent="0.3">
      <c r="A80" s="4" t="s">
        <v>34</v>
      </c>
      <c r="B80" s="5">
        <v>9</v>
      </c>
    </row>
    <row r="81" spans="1:2" x14ac:dyDescent="0.3">
      <c r="A81" s="4" t="s">
        <v>37</v>
      </c>
      <c r="B81" s="5">
        <v>10</v>
      </c>
    </row>
    <row r="82" spans="1:2" x14ac:dyDescent="0.3">
      <c r="A82" s="4" t="s">
        <v>35</v>
      </c>
      <c r="B82" s="5">
        <v>11</v>
      </c>
    </row>
    <row r="83" spans="1:2" x14ac:dyDescent="0.3">
      <c r="A83" s="4" t="s">
        <v>40</v>
      </c>
      <c r="B83" s="5">
        <v>12</v>
      </c>
    </row>
    <row r="84" spans="1:2" x14ac:dyDescent="0.3">
      <c r="A84" s="4" t="s">
        <v>39</v>
      </c>
      <c r="B84" s="5">
        <v>47</v>
      </c>
    </row>
    <row r="85" spans="1:2" x14ac:dyDescent="0.3">
      <c r="A85" s="4" t="s">
        <v>36</v>
      </c>
      <c r="B85" s="5">
        <v>98</v>
      </c>
    </row>
    <row r="86" spans="1:2" x14ac:dyDescent="0.3">
      <c r="A86" s="4" t="s">
        <v>38</v>
      </c>
      <c r="B86" s="5">
        <v>273</v>
      </c>
    </row>
    <row r="87" spans="1:2" x14ac:dyDescent="0.3">
      <c r="A87" s="4" t="s">
        <v>3</v>
      </c>
      <c r="B87" s="5">
        <v>466</v>
      </c>
    </row>
    <row r="90" spans="1:2" x14ac:dyDescent="0.3">
      <c r="A90" s="3" t="s">
        <v>4</v>
      </c>
    </row>
    <row r="91" spans="1:2" x14ac:dyDescent="0.3">
      <c r="A91" s="4" t="s">
        <v>42</v>
      </c>
    </row>
    <row r="92" spans="1:2" x14ac:dyDescent="0.3">
      <c r="A92" s="4" t="s">
        <v>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D433-D76C-4296-A5D9-99B22BD00C8E}">
  <dimension ref="A1:M17"/>
  <sheetViews>
    <sheetView tabSelected="1" zoomScale="144" zoomScaleNormal="170" workbookViewId="0">
      <selection activeCell="L6" sqref="L6"/>
    </sheetView>
  </sheetViews>
  <sheetFormatPr defaultRowHeight="14.4" x14ac:dyDescent="0.3"/>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11"/>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row r="17" spans="1:13" x14ac:dyDescent="0.3">
      <c r="A17" s="2"/>
      <c r="B17" s="2"/>
      <c r="C17" s="2"/>
      <c r="D17" s="2"/>
      <c r="E17" s="2"/>
      <c r="F17" s="2"/>
      <c r="G17" s="2"/>
      <c r="H17" s="2"/>
      <c r="I17" s="2"/>
      <c r="J17" s="2"/>
      <c r="K17" s="2"/>
      <c r="L17" s="2"/>
      <c r="M17"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8530-22FF-43C5-AC60-4636B96A34B0}">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2182-30B6-4F8F-AC82-78C693C77DE1}">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2DBB-7C05-4AB4-B19D-3421D7C58AAA}">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3C2B16D-5EF4-4EAB-896F-EE2719A0055E}">
  <ds:schemaRefs/>
</ds:datastoreItem>
</file>

<file path=customXml/itemProps2.xml><?xml version="1.0" encoding="utf-8"?>
<ds:datastoreItem xmlns:ds="http://schemas.openxmlformats.org/officeDocument/2006/customXml" ds:itemID="{6391E5C6-F6A1-468B-9DB4-64159B8E2B75}">
  <ds:schemaRefs/>
</ds:datastoreItem>
</file>

<file path=customXml/itemProps3.xml><?xml version="1.0" encoding="utf-8"?>
<ds:datastoreItem xmlns:ds="http://schemas.openxmlformats.org/officeDocument/2006/customXml" ds:itemID="{AC4889DE-C6EA-44D4-A4A3-2E1DA44690E8}">
  <ds:schemaRefs/>
</ds:datastoreItem>
</file>

<file path=customXml/itemProps4.xml><?xml version="1.0" encoding="utf-8"?>
<ds:datastoreItem xmlns:ds="http://schemas.openxmlformats.org/officeDocument/2006/customXml" ds:itemID="{4AA4A5C2-9DD5-4FC3-9F39-25A7E458E4C0}">
  <ds:schemaRefs/>
</ds:datastoreItem>
</file>

<file path=customXml/itemProps5.xml><?xml version="1.0" encoding="utf-8"?>
<ds:datastoreItem xmlns:ds="http://schemas.openxmlformats.org/officeDocument/2006/customXml" ds:itemID="{955A7AE3-D495-4587-B200-54C244792C47}">
  <ds:schemaRefs/>
</ds:datastoreItem>
</file>

<file path=customXml/itemProps6.xml><?xml version="1.0" encoding="utf-8"?>
<ds:datastoreItem xmlns:ds="http://schemas.openxmlformats.org/officeDocument/2006/customXml" ds:itemID="{0D322CD9-CBFE-410E-BE46-95B57F921B62}">
  <ds:schemaRefs/>
</ds:datastoreItem>
</file>

<file path=customXml/itemProps7.xml><?xml version="1.0" encoding="utf-8"?>
<ds:datastoreItem xmlns:ds="http://schemas.openxmlformats.org/officeDocument/2006/customXml" ds:itemID="{703999F8-4675-4565-8154-4DB9A8582CE1}">
  <ds:schemaRefs/>
</ds:datastoreItem>
</file>

<file path=customXml/itemProps8.xml><?xml version="1.0" encoding="utf-8"?>
<ds:datastoreItem xmlns:ds="http://schemas.openxmlformats.org/officeDocument/2006/customXml" ds:itemID="{A3AFAD30-9340-4E83-BB64-1B2781462ED3}">
  <ds:schemaRefs/>
</ds:datastoreItem>
</file>

<file path=customXml/itemProps9.xml><?xml version="1.0" encoding="utf-8"?>
<ds:datastoreItem xmlns:ds="http://schemas.openxmlformats.org/officeDocument/2006/customXml" ds:itemID="{501CD120-F19F-4052-8A90-C03F62A3075B}">
  <ds:schemaRefs/>
</ds:datastoreItem>
</file>

<file path=customXml/itemProps10.xml><?xml version="1.0" encoding="utf-8"?>
<ds:datastoreItem xmlns:ds="http://schemas.openxmlformats.org/officeDocument/2006/customXml" ds:itemID="{1EB52661-8BE3-4210-9025-67A6CD605E46}">
  <ds:schemaRefs/>
</ds:datastoreItem>
</file>

<file path=customXml/itemProps11.xml><?xml version="1.0" encoding="utf-8"?>
<ds:datastoreItem xmlns:ds="http://schemas.openxmlformats.org/officeDocument/2006/customXml" ds:itemID="{9C75969A-4D9A-411E-8E8E-54C09B7E48E1}">
  <ds:schemaRefs/>
</ds:datastoreItem>
</file>

<file path=customXml/itemProps12.xml><?xml version="1.0" encoding="utf-8"?>
<ds:datastoreItem xmlns:ds="http://schemas.openxmlformats.org/officeDocument/2006/customXml" ds:itemID="{8742E5A9-AC28-4E7A-B77D-4370BBEDD1EE}">
  <ds:schemaRefs>
    <ds:schemaRef ds:uri="http://schemas.microsoft.com/DataMashup"/>
  </ds:schemaRefs>
</ds:datastoreItem>
</file>

<file path=customXml/itemProps13.xml><?xml version="1.0" encoding="utf-8"?>
<ds:datastoreItem xmlns:ds="http://schemas.openxmlformats.org/officeDocument/2006/customXml" ds:itemID="{ECEAE18B-3C0F-491A-8FD8-7E03212F362F}">
  <ds:schemaRefs/>
</ds:datastoreItem>
</file>

<file path=customXml/itemProps14.xml><?xml version="1.0" encoding="utf-8"?>
<ds:datastoreItem xmlns:ds="http://schemas.openxmlformats.org/officeDocument/2006/customXml" ds:itemID="{48B91F58-7F7D-489D-81CA-636E7DB5EADB}">
  <ds:schemaRefs/>
</ds:datastoreItem>
</file>

<file path=customXml/itemProps15.xml><?xml version="1.0" encoding="utf-8"?>
<ds:datastoreItem xmlns:ds="http://schemas.openxmlformats.org/officeDocument/2006/customXml" ds:itemID="{4768E78A-CE77-4A13-B437-E82FDB345921}">
  <ds:schemaRefs/>
</ds:datastoreItem>
</file>

<file path=customXml/itemProps16.xml><?xml version="1.0" encoding="utf-8"?>
<ds:datastoreItem xmlns:ds="http://schemas.openxmlformats.org/officeDocument/2006/customXml" ds:itemID="{C6BF3406-7526-4BB2-A035-B21E97C201A2}">
  <ds:schemaRefs/>
</ds:datastoreItem>
</file>

<file path=customXml/itemProps17.xml><?xml version="1.0" encoding="utf-8"?>
<ds:datastoreItem xmlns:ds="http://schemas.openxmlformats.org/officeDocument/2006/customXml" ds:itemID="{C7ACAA4D-FD42-4997-A5A6-021B49A20246}">
  <ds:schemaRefs/>
</ds:datastoreItem>
</file>

<file path=customXml/itemProps18.xml><?xml version="1.0" encoding="utf-8"?>
<ds:datastoreItem xmlns:ds="http://schemas.openxmlformats.org/officeDocument/2006/customXml" ds:itemID="{6AF9A855-1B55-4E00-9CF7-AD45754004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vt:lpstr>
      <vt:lpstr>AVG wait time</vt:lpstr>
      <vt:lpstr>Satisfaction score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Fariyaz Rahaman</dc:creator>
  <cp:lastModifiedBy>Fariyaz Rahaman</cp:lastModifiedBy>
  <dcterms:created xsi:type="dcterms:W3CDTF">2025-10-15T09:49:49Z</dcterms:created>
  <dcterms:modified xsi:type="dcterms:W3CDTF">2025-11-03T17:44:12Z</dcterms:modified>
</cp:coreProperties>
</file>